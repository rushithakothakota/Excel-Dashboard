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e9064c46c24d3b0/Desktop/"/>
    </mc:Choice>
  </mc:AlternateContent>
  <xr:revisionPtr revIDLastSave="0" documentId="8_{3A91A579-3B8E-44CD-B461-4DB3FF985FC8}" xr6:coauthVersionLast="47" xr6:coauthVersionMax="47" xr10:uidLastSave="{00000000-0000-0000-0000-000000000000}"/>
  <bookViews>
    <workbookView xWindow="-120" yWindow="-120" windowWidth="20730" windowHeight="11040" activeTab="2" xr2:uid="{00000000-000D-0000-FFFF-FFFF00000000}"/>
  </bookViews>
  <sheets>
    <sheet name="pivot tables" sheetId="2" r:id="rId1"/>
    <sheet name="Dashboard" sheetId="3" r:id="rId2"/>
    <sheet name="Real Dashboard" sheetId="4" r:id="rId3"/>
    <sheet name="Hotel Bookings" sheetId="1" r:id="rId4"/>
  </sheets>
  <definedNames>
    <definedName name="Slicer_Hotel">#N/A</definedName>
    <definedName name="Slicer_Is_Canceled">#N/A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3" i="3"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alcChain>
</file>

<file path=xl/sharedStrings.xml><?xml version="1.0" encoding="utf-8"?>
<sst xmlns="http://schemas.openxmlformats.org/spreadsheetml/2006/main" count="666" uniqueCount="47">
  <si>
    <t>Booking_ID</t>
  </si>
  <si>
    <t>Hotel</t>
  </si>
  <si>
    <t>Is_Canceled</t>
  </si>
  <si>
    <t>Arrival_Date_Month</t>
  </si>
  <si>
    <t>Country</t>
  </si>
  <si>
    <t>Adults</t>
  </si>
  <si>
    <t>Children</t>
  </si>
  <si>
    <t>Babies</t>
  </si>
  <si>
    <t>Stays_Weekend_Nights</t>
  </si>
  <si>
    <t>Stays_Week_Nights</t>
  </si>
  <si>
    <t>ADR</t>
  </si>
  <si>
    <t>City Hotel</t>
  </si>
  <si>
    <t>July</t>
  </si>
  <si>
    <t>USA</t>
  </si>
  <si>
    <t>March</t>
  </si>
  <si>
    <t>UK</t>
  </si>
  <si>
    <t>May</t>
  </si>
  <si>
    <t>India</t>
  </si>
  <si>
    <t>October</t>
  </si>
  <si>
    <t>August</t>
  </si>
  <si>
    <t>France</t>
  </si>
  <si>
    <t>Brazil</t>
  </si>
  <si>
    <t>January</t>
  </si>
  <si>
    <t>Resort Hotel</t>
  </si>
  <si>
    <t>South Africa</t>
  </si>
  <si>
    <t>Canada</t>
  </si>
  <si>
    <t>June</t>
  </si>
  <si>
    <t>November</t>
  </si>
  <si>
    <t>September</t>
  </si>
  <si>
    <t>UAE</t>
  </si>
  <si>
    <t>February</t>
  </si>
  <si>
    <t>Australia</t>
  </si>
  <si>
    <t>April</t>
  </si>
  <si>
    <t>December</t>
  </si>
  <si>
    <t>Germany</t>
  </si>
  <si>
    <t>Grand Total</t>
  </si>
  <si>
    <t>Count of Booking_ID</t>
  </si>
  <si>
    <t>Cancellation_status</t>
  </si>
  <si>
    <t>Column1</t>
  </si>
  <si>
    <t>Sum of ADR</t>
  </si>
  <si>
    <t>Is_cancelled</t>
  </si>
  <si>
    <t>Arrival_month</t>
  </si>
  <si>
    <t>Total Bookings</t>
  </si>
  <si>
    <t>Row Labels</t>
  </si>
  <si>
    <t>Count of Cancellation_status</t>
  </si>
  <si>
    <t>Cancelled</t>
  </si>
  <si>
    <t>Not 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</si>
</sst>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rgb="FFFF9966"/>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theme="9" tint="-0.499984740745262"/>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5" xfId="0" applyFill="1" applyBorder="1"/>
    <xf numFmtId="0" fontId="0" fillId="2" borderId="6" xfId="0" applyFill="1" applyBorder="1"/>
    <xf numFmtId="0" fontId="0" fillId="2" borderId="7" xfId="0" applyFill="1" applyBorder="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2" borderId="4" xfId="0" applyFont="1" applyFill="1" applyBorder="1" applyAlignment="1">
      <alignment horizontal="center"/>
    </xf>
    <xf numFmtId="0" fontId="1" fillId="2" borderId="0" xfId="0" applyFont="1" applyFill="1" applyAlignment="1">
      <alignment horizontal="center"/>
    </xf>
    <xf numFmtId="0" fontId="0" fillId="2" borderId="4" xfId="0" applyFill="1" applyBorder="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colors>
    <mruColors>
      <color rgb="FFFF9966"/>
      <color rgb="FF3947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c:f>
              <c:strCache>
                <c:ptCount val="1"/>
                <c:pt idx="0">
                  <c:v>Total</c:v>
                </c:pt>
              </c:strCache>
            </c:strRef>
          </c:tx>
          <c:spPr>
            <a:ln w="28575" cap="rnd">
              <a:solidFill>
                <a:schemeClr val="accent1"/>
              </a:solidFill>
              <a:round/>
            </a:ln>
            <a:effectLst/>
          </c:spPr>
          <c:marker>
            <c:symbol val="none"/>
          </c:marker>
          <c:cat>
            <c:strRef>
              <c:f>'pivot tables'!$A$15:$A$27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tables'!$B$15:$B$27</c:f>
              <c:numCache>
                <c:formatCode>General</c:formatCode>
                <c:ptCount val="12"/>
                <c:pt idx="0">
                  <c:v>13</c:v>
                </c:pt>
                <c:pt idx="1">
                  <c:v>9</c:v>
                </c:pt>
                <c:pt idx="2">
                  <c:v>11</c:v>
                </c:pt>
                <c:pt idx="3">
                  <c:v>11</c:v>
                </c:pt>
                <c:pt idx="4">
                  <c:v>17</c:v>
                </c:pt>
                <c:pt idx="5">
                  <c:v>22</c:v>
                </c:pt>
                <c:pt idx="6">
                  <c:v>37</c:v>
                </c:pt>
                <c:pt idx="7">
                  <c:v>25</c:v>
                </c:pt>
                <c:pt idx="8">
                  <c:v>21</c:v>
                </c:pt>
                <c:pt idx="9">
                  <c:v>20</c:v>
                </c:pt>
                <c:pt idx="10">
                  <c:v>11</c:v>
                </c:pt>
                <c:pt idx="11">
                  <c:v>3</c:v>
                </c:pt>
              </c:numCache>
            </c:numRef>
          </c:val>
          <c:smooth val="0"/>
          <c:extLst>
            <c:ext xmlns:c16="http://schemas.microsoft.com/office/drawing/2014/chart" uri="{C3380CC4-5D6E-409C-BE32-E72D297353CC}">
              <c16:uniqueId val="{00000000-4C76-4BB4-A729-76745D4DC1E9}"/>
            </c:ext>
          </c:extLst>
        </c:ser>
        <c:dLbls>
          <c:showLegendKey val="0"/>
          <c:showVal val="0"/>
          <c:showCatName val="0"/>
          <c:showSerName val="0"/>
          <c:showPercent val="0"/>
          <c:showBubbleSize val="0"/>
        </c:dLbls>
        <c:smooth val="0"/>
        <c:axId val="522212288"/>
        <c:axId val="522216248"/>
      </c:lineChart>
      <c:catAx>
        <c:axId val="5222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16248"/>
        <c:crosses val="autoZero"/>
        <c:auto val="1"/>
        <c:lblAlgn val="ctr"/>
        <c:lblOffset val="100"/>
        <c:noMultiLvlLbl val="0"/>
      </c:catAx>
      <c:valAx>
        <c:axId val="52221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tables'!$D$4:$D$14</c:f>
              <c:strCache>
                <c:ptCount val="10"/>
                <c:pt idx="0">
                  <c:v>Australia</c:v>
                </c:pt>
                <c:pt idx="1">
                  <c:v>Brazil</c:v>
                </c:pt>
                <c:pt idx="2">
                  <c:v>Canada</c:v>
                </c:pt>
                <c:pt idx="3">
                  <c:v>France</c:v>
                </c:pt>
                <c:pt idx="4">
                  <c:v>Germany</c:v>
                </c:pt>
                <c:pt idx="5">
                  <c:v>India</c:v>
                </c:pt>
                <c:pt idx="6">
                  <c:v>South Africa</c:v>
                </c:pt>
                <c:pt idx="7">
                  <c:v>UAE</c:v>
                </c:pt>
                <c:pt idx="8">
                  <c:v>UK</c:v>
                </c:pt>
                <c:pt idx="9">
                  <c:v>USA</c:v>
                </c:pt>
              </c:strCache>
            </c:strRef>
          </c:cat>
          <c:val>
            <c:numRef>
              <c:f>'pivot tables'!$E$4:$E$14</c:f>
              <c:numCache>
                <c:formatCode>General</c:formatCode>
                <c:ptCount val="10"/>
                <c:pt idx="0">
                  <c:v>7</c:v>
                </c:pt>
                <c:pt idx="1">
                  <c:v>12</c:v>
                </c:pt>
                <c:pt idx="2">
                  <c:v>10</c:v>
                </c:pt>
                <c:pt idx="3">
                  <c:v>12</c:v>
                </c:pt>
                <c:pt idx="4">
                  <c:v>8</c:v>
                </c:pt>
                <c:pt idx="5">
                  <c:v>73</c:v>
                </c:pt>
                <c:pt idx="6">
                  <c:v>5</c:v>
                </c:pt>
                <c:pt idx="7">
                  <c:v>17</c:v>
                </c:pt>
                <c:pt idx="8">
                  <c:v>23</c:v>
                </c:pt>
                <c:pt idx="9">
                  <c:v>33</c:v>
                </c:pt>
              </c:numCache>
            </c:numRef>
          </c:val>
          <c:extLst>
            <c:ext xmlns:c16="http://schemas.microsoft.com/office/drawing/2014/chart" uri="{C3380CC4-5D6E-409C-BE32-E72D297353CC}">
              <c16:uniqueId val="{00000000-9F73-4191-BDA9-D02E927A7679}"/>
            </c:ext>
          </c:extLst>
        </c:ser>
        <c:dLbls>
          <c:showLegendKey val="0"/>
          <c:showVal val="0"/>
          <c:showCatName val="0"/>
          <c:showSerName val="0"/>
          <c:showPercent val="0"/>
          <c:showBubbleSize val="0"/>
        </c:dLbls>
        <c:gapWidth val="182"/>
        <c:axId val="512303192"/>
        <c:axId val="512303552"/>
      </c:barChart>
      <c:catAx>
        <c:axId val="512303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03552"/>
        <c:crosses val="autoZero"/>
        <c:auto val="1"/>
        <c:lblAlgn val="ctr"/>
        <c:lblOffset val="100"/>
        <c:noMultiLvlLbl val="0"/>
      </c:catAx>
      <c:valAx>
        <c:axId val="51230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03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tables'!$E$16</c:f>
              <c:strCache>
                <c:ptCount val="1"/>
                <c:pt idx="0">
                  <c:v>Total</c:v>
                </c:pt>
              </c:strCache>
            </c:strRef>
          </c:tx>
          <c:spPr>
            <a:solidFill>
              <a:schemeClr val="accent1"/>
            </a:solidFill>
            <a:ln>
              <a:noFill/>
            </a:ln>
            <a:effectLst/>
          </c:spPr>
          <c:invertIfNegative val="0"/>
          <c:cat>
            <c:strRef>
              <c:f>'pivot tables'!$D$17:$D$19</c:f>
              <c:strCache>
                <c:ptCount val="2"/>
                <c:pt idx="0">
                  <c:v>City Hotel</c:v>
                </c:pt>
                <c:pt idx="1">
                  <c:v>Resort Hotel</c:v>
                </c:pt>
              </c:strCache>
            </c:strRef>
          </c:cat>
          <c:val>
            <c:numRef>
              <c:f>'pivot tables'!$E$17:$E$19</c:f>
              <c:numCache>
                <c:formatCode>General</c:formatCode>
                <c:ptCount val="2"/>
                <c:pt idx="0">
                  <c:v>25088.880000000012</c:v>
                </c:pt>
                <c:pt idx="1">
                  <c:v>11976.580000000004</c:v>
                </c:pt>
              </c:numCache>
            </c:numRef>
          </c:val>
          <c:extLst>
            <c:ext xmlns:c16="http://schemas.microsoft.com/office/drawing/2014/chart" uri="{C3380CC4-5D6E-409C-BE32-E72D297353CC}">
              <c16:uniqueId val="{00000000-3A0D-4227-B0FE-E369A362EFBF}"/>
            </c:ext>
          </c:extLst>
        </c:ser>
        <c:dLbls>
          <c:showLegendKey val="0"/>
          <c:showVal val="0"/>
          <c:showCatName val="0"/>
          <c:showSerName val="0"/>
          <c:showPercent val="0"/>
          <c:showBubbleSize val="0"/>
        </c:dLbls>
        <c:gapWidth val="219"/>
        <c:overlap val="-27"/>
        <c:axId val="522211928"/>
        <c:axId val="522218768"/>
      </c:barChart>
      <c:catAx>
        <c:axId val="522211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18768"/>
        <c:crosses val="autoZero"/>
        <c:auto val="1"/>
        <c:lblAlgn val="ctr"/>
        <c:lblOffset val="100"/>
        <c:noMultiLvlLbl val="0"/>
      </c:catAx>
      <c:valAx>
        <c:axId val="52221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11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tables'!$E$16</c:f>
              <c:strCache>
                <c:ptCount val="1"/>
                <c:pt idx="0">
                  <c:v>Total</c:v>
                </c:pt>
              </c:strCache>
            </c:strRef>
          </c:tx>
          <c:spPr>
            <a:solidFill>
              <a:schemeClr val="accent1"/>
            </a:solidFill>
            <a:ln>
              <a:noFill/>
            </a:ln>
            <a:effectLst/>
          </c:spPr>
          <c:invertIfNegative val="0"/>
          <c:cat>
            <c:strRef>
              <c:f>'pivot tables'!$D$17:$D$19</c:f>
              <c:strCache>
                <c:ptCount val="2"/>
                <c:pt idx="0">
                  <c:v>City Hotel</c:v>
                </c:pt>
                <c:pt idx="1">
                  <c:v>Resort Hotel</c:v>
                </c:pt>
              </c:strCache>
            </c:strRef>
          </c:cat>
          <c:val>
            <c:numRef>
              <c:f>'pivot tables'!$E$17:$E$19</c:f>
              <c:numCache>
                <c:formatCode>General</c:formatCode>
                <c:ptCount val="2"/>
                <c:pt idx="0">
                  <c:v>25088.880000000012</c:v>
                </c:pt>
                <c:pt idx="1">
                  <c:v>11976.580000000004</c:v>
                </c:pt>
              </c:numCache>
            </c:numRef>
          </c:val>
          <c:extLst>
            <c:ext xmlns:c16="http://schemas.microsoft.com/office/drawing/2014/chart" uri="{C3380CC4-5D6E-409C-BE32-E72D297353CC}">
              <c16:uniqueId val="{00000000-360A-4E32-885F-F0989CA5C658}"/>
            </c:ext>
          </c:extLst>
        </c:ser>
        <c:dLbls>
          <c:showLegendKey val="0"/>
          <c:showVal val="0"/>
          <c:showCatName val="0"/>
          <c:showSerName val="0"/>
          <c:showPercent val="0"/>
          <c:showBubbleSize val="0"/>
        </c:dLbls>
        <c:gapWidth val="219"/>
        <c:overlap val="-27"/>
        <c:axId val="522211928"/>
        <c:axId val="522218768"/>
      </c:barChart>
      <c:catAx>
        <c:axId val="522211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18768"/>
        <c:crosses val="autoZero"/>
        <c:auto val="1"/>
        <c:lblAlgn val="ctr"/>
        <c:lblOffset val="100"/>
        <c:noMultiLvlLbl val="0"/>
      </c:catAx>
      <c:valAx>
        <c:axId val="52221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11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tables!PivotTable7</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c:f>
              <c:strCache>
                <c:ptCount val="1"/>
                <c:pt idx="0">
                  <c:v>Total</c:v>
                </c:pt>
              </c:strCache>
            </c:strRef>
          </c:tx>
          <c:spPr>
            <a:ln w="28575" cap="rnd">
              <a:solidFill>
                <a:schemeClr val="accent1"/>
              </a:solidFill>
              <a:round/>
            </a:ln>
            <a:effectLst/>
          </c:spPr>
          <c:marker>
            <c:symbol val="none"/>
          </c:marker>
          <c:cat>
            <c:strRef>
              <c:f>'pivot tables'!$A$15:$A$27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tables'!$B$15:$B$27</c:f>
              <c:numCache>
                <c:formatCode>General</c:formatCode>
                <c:ptCount val="12"/>
                <c:pt idx="0">
                  <c:v>13</c:v>
                </c:pt>
                <c:pt idx="1">
                  <c:v>9</c:v>
                </c:pt>
                <c:pt idx="2">
                  <c:v>11</c:v>
                </c:pt>
                <c:pt idx="3">
                  <c:v>11</c:v>
                </c:pt>
                <c:pt idx="4">
                  <c:v>17</c:v>
                </c:pt>
                <c:pt idx="5">
                  <c:v>22</c:v>
                </c:pt>
                <c:pt idx="6">
                  <c:v>37</c:v>
                </c:pt>
                <c:pt idx="7">
                  <c:v>25</c:v>
                </c:pt>
                <c:pt idx="8">
                  <c:v>21</c:v>
                </c:pt>
                <c:pt idx="9">
                  <c:v>20</c:v>
                </c:pt>
                <c:pt idx="10">
                  <c:v>11</c:v>
                </c:pt>
                <c:pt idx="11">
                  <c:v>3</c:v>
                </c:pt>
              </c:numCache>
            </c:numRef>
          </c:val>
          <c:smooth val="0"/>
          <c:extLst>
            <c:ext xmlns:c16="http://schemas.microsoft.com/office/drawing/2014/chart" uri="{C3380CC4-5D6E-409C-BE32-E72D297353CC}">
              <c16:uniqueId val="{00000000-21B1-4557-B82F-8669CC923984}"/>
            </c:ext>
          </c:extLst>
        </c:ser>
        <c:dLbls>
          <c:showLegendKey val="0"/>
          <c:showVal val="0"/>
          <c:showCatName val="0"/>
          <c:showSerName val="0"/>
          <c:showPercent val="0"/>
          <c:showBubbleSize val="0"/>
        </c:dLbls>
        <c:smooth val="0"/>
        <c:axId val="522212288"/>
        <c:axId val="522216248"/>
      </c:lineChart>
      <c:catAx>
        <c:axId val="5222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16248"/>
        <c:crosses val="autoZero"/>
        <c:auto val="1"/>
        <c:lblAlgn val="ctr"/>
        <c:lblOffset val="100"/>
        <c:noMultiLvlLbl val="0"/>
      </c:catAx>
      <c:valAx>
        <c:axId val="52221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tables'!$A$4:$A$6</c:f>
              <c:strCache>
                <c:ptCount val="2"/>
                <c:pt idx="0">
                  <c:v>City Hotel</c:v>
                </c:pt>
                <c:pt idx="1">
                  <c:v>Resort Hotel</c:v>
                </c:pt>
              </c:strCache>
            </c:strRef>
          </c:cat>
          <c:val>
            <c:numRef>
              <c:f>'pivot tables'!$B$4:$B$6</c:f>
              <c:numCache>
                <c:formatCode>General</c:formatCode>
                <c:ptCount val="2"/>
                <c:pt idx="0">
                  <c:v>140</c:v>
                </c:pt>
                <c:pt idx="1">
                  <c:v>60</c:v>
                </c:pt>
              </c:numCache>
            </c:numRef>
          </c:val>
          <c:extLst>
            <c:ext xmlns:c16="http://schemas.microsoft.com/office/drawing/2014/chart" uri="{C3380CC4-5D6E-409C-BE32-E72D297353CC}">
              <c16:uniqueId val="{00000000-96C7-4E2E-A33C-F60DD25A7240}"/>
            </c:ext>
          </c:extLst>
        </c:ser>
        <c:dLbls>
          <c:showLegendKey val="0"/>
          <c:showVal val="0"/>
          <c:showCatName val="0"/>
          <c:showSerName val="0"/>
          <c:showPercent val="0"/>
          <c:showBubbleSize val="0"/>
        </c:dLbls>
        <c:gapWidth val="219"/>
        <c:overlap val="-27"/>
        <c:axId val="112766312"/>
        <c:axId val="112765232"/>
      </c:barChart>
      <c:catAx>
        <c:axId val="112766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5232"/>
        <c:crosses val="autoZero"/>
        <c:auto val="1"/>
        <c:lblAlgn val="ctr"/>
        <c:lblOffset val="100"/>
        <c:noMultiLvlLbl val="0"/>
      </c:catAx>
      <c:valAx>
        <c:axId val="11276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6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tables'!$D$4:$D$14</c:f>
              <c:strCache>
                <c:ptCount val="10"/>
                <c:pt idx="0">
                  <c:v>Australia</c:v>
                </c:pt>
                <c:pt idx="1">
                  <c:v>Brazil</c:v>
                </c:pt>
                <c:pt idx="2">
                  <c:v>Canada</c:v>
                </c:pt>
                <c:pt idx="3">
                  <c:v>France</c:v>
                </c:pt>
                <c:pt idx="4">
                  <c:v>Germany</c:v>
                </c:pt>
                <c:pt idx="5">
                  <c:v>India</c:v>
                </c:pt>
                <c:pt idx="6">
                  <c:v>South Africa</c:v>
                </c:pt>
                <c:pt idx="7">
                  <c:v>UAE</c:v>
                </c:pt>
                <c:pt idx="8">
                  <c:v>UK</c:v>
                </c:pt>
                <c:pt idx="9">
                  <c:v>USA</c:v>
                </c:pt>
              </c:strCache>
            </c:strRef>
          </c:cat>
          <c:val>
            <c:numRef>
              <c:f>'pivot tables'!$E$4:$E$14</c:f>
              <c:numCache>
                <c:formatCode>General</c:formatCode>
                <c:ptCount val="10"/>
                <c:pt idx="0">
                  <c:v>7</c:v>
                </c:pt>
                <c:pt idx="1">
                  <c:v>12</c:v>
                </c:pt>
                <c:pt idx="2">
                  <c:v>10</c:v>
                </c:pt>
                <c:pt idx="3">
                  <c:v>12</c:v>
                </c:pt>
                <c:pt idx="4">
                  <c:v>8</c:v>
                </c:pt>
                <c:pt idx="5">
                  <c:v>73</c:v>
                </c:pt>
                <c:pt idx="6">
                  <c:v>5</c:v>
                </c:pt>
                <c:pt idx="7">
                  <c:v>17</c:v>
                </c:pt>
                <c:pt idx="8">
                  <c:v>23</c:v>
                </c:pt>
                <c:pt idx="9">
                  <c:v>33</c:v>
                </c:pt>
              </c:numCache>
            </c:numRef>
          </c:val>
          <c:extLst>
            <c:ext xmlns:c16="http://schemas.microsoft.com/office/drawing/2014/chart" uri="{C3380CC4-5D6E-409C-BE32-E72D297353CC}">
              <c16:uniqueId val="{00000000-59A6-4F52-BE3A-52F4E3C2C4B5}"/>
            </c:ext>
          </c:extLst>
        </c:ser>
        <c:dLbls>
          <c:showLegendKey val="0"/>
          <c:showVal val="0"/>
          <c:showCatName val="0"/>
          <c:showSerName val="0"/>
          <c:showPercent val="0"/>
          <c:showBubbleSize val="0"/>
        </c:dLbls>
        <c:gapWidth val="182"/>
        <c:axId val="512303192"/>
        <c:axId val="512303552"/>
      </c:barChart>
      <c:catAx>
        <c:axId val="512303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03552"/>
        <c:crosses val="autoZero"/>
        <c:auto val="1"/>
        <c:lblAlgn val="ctr"/>
        <c:lblOffset val="100"/>
        <c:noMultiLvlLbl val="0"/>
      </c:catAx>
      <c:valAx>
        <c:axId val="51230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03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38-44A0-B41E-0DAE2AD06E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38-44A0-B41E-0DAE2AD06E11}"/>
              </c:ext>
            </c:extLst>
          </c:dPt>
          <c:cat>
            <c:strRef>
              <c:f>'pivot tables'!$A$10:$A$12</c:f>
              <c:strCache>
                <c:ptCount val="2"/>
                <c:pt idx="0">
                  <c:v>0</c:v>
                </c:pt>
                <c:pt idx="1">
                  <c:v>1</c:v>
                </c:pt>
              </c:strCache>
            </c:strRef>
          </c:cat>
          <c:val>
            <c:numRef>
              <c:f>'pivot tables'!$B$10:$B$12</c:f>
              <c:numCache>
                <c:formatCode>General</c:formatCode>
                <c:ptCount val="2"/>
                <c:pt idx="0">
                  <c:v>155</c:v>
                </c:pt>
                <c:pt idx="1">
                  <c:v>45</c:v>
                </c:pt>
              </c:numCache>
            </c:numRef>
          </c:val>
          <c:extLst>
            <c:ext xmlns:c16="http://schemas.microsoft.com/office/drawing/2014/chart" uri="{C3380CC4-5D6E-409C-BE32-E72D297353CC}">
              <c16:uniqueId val="{00000004-7A38-44A0-B41E-0DAE2AD06E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[hotel_booking_dashboard.xlsx]Dashboard!PivotTable3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Dashboard!$L$19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3F-4A80-BB91-150C41A03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3F-4A80-BB91-150C41A03A73}"/>
              </c:ext>
            </c:extLst>
          </c:dPt>
          <c:cat>
            <c:strRef>
              <c:f>Dashboard!$K$20:$K$22</c:f>
              <c:strCache>
                <c:ptCount val="2"/>
                <c:pt idx="0">
                  <c:v>Cancelled</c:v>
                </c:pt>
                <c:pt idx="1">
                  <c:v>Not cancelled</c:v>
                </c:pt>
              </c:strCache>
            </c:strRef>
          </c:cat>
          <c:val>
            <c:numRef>
              <c:f>Dashboard!$L$20:$L$22</c:f>
              <c:numCache>
                <c:formatCode>General</c:formatCode>
                <c:ptCount val="2"/>
                <c:pt idx="0">
                  <c:v>45</c:v>
                </c:pt>
                <c:pt idx="1">
                  <c:v>155</c:v>
                </c:pt>
              </c:numCache>
            </c:numRef>
          </c:val>
          <c:extLst>
            <c:ext xmlns:c16="http://schemas.microsoft.com/office/drawing/2014/chart" uri="{C3380CC4-5D6E-409C-BE32-E72D297353CC}">
              <c16:uniqueId val="{00000000-C142-4111-8921-09ACF480F3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tables'!$A$4:$A$6</c:f>
              <c:strCache>
                <c:ptCount val="2"/>
                <c:pt idx="0">
                  <c:v>City Hotel</c:v>
                </c:pt>
                <c:pt idx="1">
                  <c:v>Resort Hotel</c:v>
                </c:pt>
              </c:strCache>
            </c:strRef>
          </c:cat>
          <c:val>
            <c:numRef>
              <c:f>'pivot tables'!$B$4:$B$6</c:f>
              <c:numCache>
                <c:formatCode>General</c:formatCode>
                <c:ptCount val="2"/>
                <c:pt idx="0">
                  <c:v>140</c:v>
                </c:pt>
                <c:pt idx="1">
                  <c:v>60</c:v>
                </c:pt>
              </c:numCache>
            </c:numRef>
          </c:val>
          <c:extLst>
            <c:ext xmlns:c16="http://schemas.microsoft.com/office/drawing/2014/chart" uri="{C3380CC4-5D6E-409C-BE32-E72D297353CC}">
              <c16:uniqueId val="{00000000-18A1-4499-8D7A-81CFB39CB5EA}"/>
            </c:ext>
          </c:extLst>
        </c:ser>
        <c:dLbls>
          <c:showLegendKey val="0"/>
          <c:showVal val="0"/>
          <c:showCatName val="0"/>
          <c:showSerName val="0"/>
          <c:showPercent val="0"/>
          <c:showBubbleSize val="0"/>
        </c:dLbls>
        <c:gapWidth val="219"/>
        <c:overlap val="-27"/>
        <c:axId val="112766312"/>
        <c:axId val="112765232"/>
      </c:barChart>
      <c:catAx>
        <c:axId val="112766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b="1">
                    <a:solidFill>
                      <a:schemeClr val="bg1"/>
                    </a:solidFill>
                  </a:rPr>
                  <a:t>Hotel</a:t>
                </a:r>
                <a:r>
                  <a:rPr lang="en-IN" b="1" baseline="0">
                    <a:solidFill>
                      <a:schemeClr val="bg1"/>
                    </a:solidFill>
                  </a:rPr>
                  <a:t> Type</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112765232"/>
        <c:crosses val="autoZero"/>
        <c:auto val="1"/>
        <c:lblAlgn val="ctr"/>
        <c:lblOffset val="100"/>
        <c:noMultiLvlLbl val="0"/>
      </c:catAx>
      <c:valAx>
        <c:axId val="1127652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Bookings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112766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6949756280465"/>
          <c:y val="0.16072463768115941"/>
          <c:w val="0.51230439945006878"/>
          <c:h val="0.46172828939860777"/>
        </c:manualLayout>
      </c:layout>
      <c:lineChart>
        <c:grouping val="standard"/>
        <c:varyColors val="0"/>
        <c:ser>
          <c:idx val="0"/>
          <c:order val="0"/>
          <c:tx>
            <c:strRef>
              <c:f>'pivot tables'!$B$14</c:f>
              <c:strCache>
                <c:ptCount val="1"/>
                <c:pt idx="0">
                  <c:v>Total</c:v>
                </c:pt>
              </c:strCache>
            </c:strRef>
          </c:tx>
          <c:spPr>
            <a:ln w="28575" cap="rnd">
              <a:solidFill>
                <a:schemeClr val="accent1"/>
              </a:solidFill>
              <a:round/>
            </a:ln>
            <a:effectLst/>
          </c:spPr>
          <c:marker>
            <c:symbol val="none"/>
          </c:marker>
          <c:cat>
            <c:strRef>
              <c:f>'pivot tables'!$A$15:$A$27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tables'!$B$15:$B$27</c:f>
              <c:numCache>
                <c:formatCode>General</c:formatCode>
                <c:ptCount val="12"/>
                <c:pt idx="0">
                  <c:v>13</c:v>
                </c:pt>
                <c:pt idx="1">
                  <c:v>9</c:v>
                </c:pt>
                <c:pt idx="2">
                  <c:v>11</c:v>
                </c:pt>
                <c:pt idx="3">
                  <c:v>11</c:v>
                </c:pt>
                <c:pt idx="4">
                  <c:v>17</c:v>
                </c:pt>
                <c:pt idx="5">
                  <c:v>22</c:v>
                </c:pt>
                <c:pt idx="6">
                  <c:v>37</c:v>
                </c:pt>
                <c:pt idx="7">
                  <c:v>25</c:v>
                </c:pt>
                <c:pt idx="8">
                  <c:v>21</c:v>
                </c:pt>
                <c:pt idx="9">
                  <c:v>20</c:v>
                </c:pt>
                <c:pt idx="10">
                  <c:v>11</c:v>
                </c:pt>
                <c:pt idx="11">
                  <c:v>3</c:v>
                </c:pt>
              </c:numCache>
            </c:numRef>
          </c:val>
          <c:smooth val="0"/>
          <c:extLst>
            <c:ext xmlns:c16="http://schemas.microsoft.com/office/drawing/2014/chart" uri="{C3380CC4-5D6E-409C-BE32-E72D297353CC}">
              <c16:uniqueId val="{00000000-093A-46AB-B090-9C3AD410B1A7}"/>
            </c:ext>
          </c:extLst>
        </c:ser>
        <c:dLbls>
          <c:showLegendKey val="0"/>
          <c:showVal val="0"/>
          <c:showCatName val="0"/>
          <c:showSerName val="0"/>
          <c:showPercent val="0"/>
          <c:showBubbleSize val="0"/>
        </c:dLbls>
        <c:smooth val="0"/>
        <c:axId val="522212288"/>
        <c:axId val="522216248"/>
      </c:lineChart>
      <c:catAx>
        <c:axId val="52221228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Arrival</a:t>
                </a:r>
                <a:r>
                  <a:rPr lang="en-IN" b="1" baseline="0">
                    <a:solidFill>
                      <a:schemeClr val="bg1"/>
                    </a:solidFill>
                  </a:rPr>
                  <a:t> Month</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522216248"/>
        <c:crosses val="autoZero"/>
        <c:auto val="1"/>
        <c:lblAlgn val="ctr"/>
        <c:lblOffset val="100"/>
        <c:noMultiLvlLbl val="0"/>
      </c:catAx>
      <c:valAx>
        <c:axId val="52221624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Bookings</a:t>
                </a:r>
              </a:p>
              <a:p>
                <a:pPr>
                  <a:defRPr b="1">
                    <a:solidFill>
                      <a:schemeClr val="bg1"/>
                    </a:solidFill>
                  </a:defRPr>
                </a:pPr>
                <a:endParaRPr lang="en-IN" b="1">
                  <a:solidFill>
                    <a:schemeClr val="bg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52221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82919063016808"/>
          <c:y val="3.9372900968024156E-2"/>
          <c:w val="0.54530479928253484"/>
          <c:h val="0.43309287951909237"/>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tables'!$D$4:$D$14</c:f>
              <c:strCache>
                <c:ptCount val="10"/>
                <c:pt idx="0">
                  <c:v>Australia</c:v>
                </c:pt>
                <c:pt idx="1">
                  <c:v>Brazil</c:v>
                </c:pt>
                <c:pt idx="2">
                  <c:v>Canada</c:v>
                </c:pt>
                <c:pt idx="3">
                  <c:v>France</c:v>
                </c:pt>
                <c:pt idx="4">
                  <c:v>Germany</c:v>
                </c:pt>
                <c:pt idx="5">
                  <c:v>India</c:v>
                </c:pt>
                <c:pt idx="6">
                  <c:v>South Africa</c:v>
                </c:pt>
                <c:pt idx="7">
                  <c:v>UAE</c:v>
                </c:pt>
                <c:pt idx="8">
                  <c:v>UK</c:v>
                </c:pt>
                <c:pt idx="9">
                  <c:v>USA</c:v>
                </c:pt>
              </c:strCache>
            </c:strRef>
          </c:cat>
          <c:val>
            <c:numRef>
              <c:f>'pivot tables'!$E$4:$E$14</c:f>
              <c:numCache>
                <c:formatCode>General</c:formatCode>
                <c:ptCount val="10"/>
                <c:pt idx="0">
                  <c:v>7</c:v>
                </c:pt>
                <c:pt idx="1">
                  <c:v>12</c:v>
                </c:pt>
                <c:pt idx="2">
                  <c:v>10</c:v>
                </c:pt>
                <c:pt idx="3">
                  <c:v>12</c:v>
                </c:pt>
                <c:pt idx="4">
                  <c:v>8</c:v>
                </c:pt>
                <c:pt idx="5">
                  <c:v>73</c:v>
                </c:pt>
                <c:pt idx="6">
                  <c:v>5</c:v>
                </c:pt>
                <c:pt idx="7">
                  <c:v>17</c:v>
                </c:pt>
                <c:pt idx="8">
                  <c:v>23</c:v>
                </c:pt>
                <c:pt idx="9">
                  <c:v>33</c:v>
                </c:pt>
              </c:numCache>
            </c:numRef>
          </c:val>
          <c:extLst>
            <c:ext xmlns:c16="http://schemas.microsoft.com/office/drawing/2014/chart" uri="{C3380CC4-5D6E-409C-BE32-E72D297353CC}">
              <c16:uniqueId val="{00000000-4682-43D2-8AB6-C102418478AB}"/>
            </c:ext>
          </c:extLst>
        </c:ser>
        <c:dLbls>
          <c:showLegendKey val="0"/>
          <c:showVal val="0"/>
          <c:showCatName val="0"/>
          <c:showSerName val="0"/>
          <c:showPercent val="0"/>
          <c:showBubbleSize val="0"/>
        </c:dLbls>
        <c:gapWidth val="182"/>
        <c:axId val="512303192"/>
        <c:axId val="512303552"/>
      </c:barChart>
      <c:catAx>
        <c:axId val="512303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Countries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512303552"/>
        <c:crosses val="autoZero"/>
        <c:auto val="1"/>
        <c:lblAlgn val="ctr"/>
        <c:lblOffset val="100"/>
        <c:noMultiLvlLbl val="0"/>
      </c:catAx>
      <c:valAx>
        <c:axId val="5123035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Bookings</a:t>
                </a:r>
              </a:p>
              <a:p>
                <a:pPr>
                  <a:defRPr b="1">
                    <a:solidFill>
                      <a:schemeClr val="bg1"/>
                    </a:solidFill>
                  </a:defRPr>
                </a:pPr>
                <a:endParaRPr lang="en-IN" b="1">
                  <a:solidFill>
                    <a:schemeClr val="bg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512303192"/>
        <c:crosses val="autoZero"/>
        <c:crossBetween val="between"/>
      </c:valAx>
      <c:spPr>
        <a:solidFill>
          <a:schemeClr val="accent3">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[hotel_booking_dashboard.xlsx]pivot tables!PivotTable9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76794045199146"/>
          <c:y val="0.15426990552486691"/>
          <c:w val="0.53769044134421451"/>
          <c:h val="0.61648353984358695"/>
        </c:manualLayout>
      </c:layout>
      <c:barChart>
        <c:barDir val="col"/>
        <c:grouping val="clustered"/>
        <c:varyColors val="0"/>
        <c:ser>
          <c:idx val="0"/>
          <c:order val="0"/>
          <c:tx>
            <c:strRef>
              <c:f>'pivot tables'!$E$16</c:f>
              <c:strCache>
                <c:ptCount val="1"/>
                <c:pt idx="0">
                  <c:v>Total</c:v>
                </c:pt>
              </c:strCache>
            </c:strRef>
          </c:tx>
          <c:spPr>
            <a:solidFill>
              <a:schemeClr val="accent1"/>
            </a:solidFill>
            <a:ln>
              <a:noFill/>
            </a:ln>
            <a:effectLst/>
          </c:spPr>
          <c:invertIfNegative val="0"/>
          <c:cat>
            <c:strRef>
              <c:f>'pivot tables'!$D$17:$D$19</c:f>
              <c:strCache>
                <c:ptCount val="2"/>
                <c:pt idx="0">
                  <c:v>City Hotel</c:v>
                </c:pt>
                <c:pt idx="1">
                  <c:v>Resort Hotel</c:v>
                </c:pt>
              </c:strCache>
            </c:strRef>
          </c:cat>
          <c:val>
            <c:numRef>
              <c:f>'pivot tables'!$E$17:$E$19</c:f>
              <c:numCache>
                <c:formatCode>General</c:formatCode>
                <c:ptCount val="2"/>
                <c:pt idx="0">
                  <c:v>25088.880000000012</c:v>
                </c:pt>
                <c:pt idx="1">
                  <c:v>11976.580000000004</c:v>
                </c:pt>
              </c:numCache>
            </c:numRef>
          </c:val>
          <c:extLst>
            <c:ext xmlns:c16="http://schemas.microsoft.com/office/drawing/2014/chart" uri="{C3380CC4-5D6E-409C-BE32-E72D297353CC}">
              <c16:uniqueId val="{00000000-09CA-462A-96B8-330AC9C453A5}"/>
            </c:ext>
          </c:extLst>
        </c:ser>
        <c:dLbls>
          <c:showLegendKey val="0"/>
          <c:showVal val="0"/>
          <c:showCatName val="0"/>
          <c:showSerName val="0"/>
          <c:showPercent val="0"/>
          <c:showBubbleSize val="0"/>
        </c:dLbls>
        <c:gapWidth val="219"/>
        <c:overlap val="-27"/>
        <c:axId val="522211928"/>
        <c:axId val="522218768"/>
      </c:barChart>
      <c:catAx>
        <c:axId val="5222119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Hotel</a:t>
                </a:r>
                <a:r>
                  <a:rPr lang="en-IN" b="1" baseline="0">
                    <a:solidFill>
                      <a:schemeClr val="bg1"/>
                    </a:solidFill>
                  </a:rPr>
                  <a:t> Type</a:t>
                </a:r>
              </a:p>
              <a:p>
                <a:pPr>
                  <a:defRPr b="1">
                    <a:solidFill>
                      <a:schemeClr val="bg1"/>
                    </a:solidFill>
                  </a:defRPr>
                </a:pP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522218768"/>
        <c:crosses val="autoZero"/>
        <c:auto val="1"/>
        <c:lblAlgn val="ctr"/>
        <c:lblOffset val="100"/>
        <c:noMultiLvlLbl val="0"/>
      </c:catAx>
      <c:valAx>
        <c:axId val="52221876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Avg</a:t>
                </a:r>
                <a:r>
                  <a:rPr lang="en-IN" b="1" baseline="0">
                    <a:solidFill>
                      <a:schemeClr val="bg1"/>
                    </a:solidFill>
                  </a:rPr>
                  <a:t> Daily Rate</a:t>
                </a:r>
                <a:endParaRPr lang="en-IN" b="1">
                  <a:solidFill>
                    <a:schemeClr val="bg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522211928"/>
        <c:crosses val="autoZero"/>
        <c:crossBetween val="between"/>
      </c:valAx>
      <c:spPr>
        <a:solidFill>
          <a:schemeClr val="accent3">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[hotel_booking_dashboard.xlsx]Dashboard!PivotTable3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9.8009287300625886E-2"/>
          <c:y val="8.8612878869593376E-2"/>
          <c:w val="0.6973687398386943"/>
          <c:h val="0.58989752993204625"/>
        </c:manualLayout>
      </c:layout>
      <c:pieChart>
        <c:varyColors val="1"/>
        <c:ser>
          <c:idx val="0"/>
          <c:order val="0"/>
          <c:tx>
            <c:strRef>
              <c:f>Dashboard!$L$19</c:f>
              <c:strCache>
                <c:ptCount val="1"/>
                <c:pt idx="0">
                  <c:v>Total</c:v>
                </c:pt>
              </c:strCache>
            </c:strRef>
          </c:tx>
          <c:spPr>
            <a:ln>
              <a:noFill/>
            </a:ln>
          </c:spPr>
          <c:explosion val="5"/>
          <c:dPt>
            <c:idx val="0"/>
            <c:bubble3D val="0"/>
            <c:spPr>
              <a:solidFill>
                <a:schemeClr val="accent1"/>
              </a:solidFill>
              <a:ln w="19050">
                <a:noFill/>
              </a:ln>
              <a:effectLst/>
            </c:spPr>
            <c:extLst>
              <c:ext xmlns:c16="http://schemas.microsoft.com/office/drawing/2014/chart" uri="{C3380CC4-5D6E-409C-BE32-E72D297353CC}">
                <c16:uniqueId val="{00000001-679E-41F7-A3FB-AACE10643164}"/>
              </c:ext>
            </c:extLst>
          </c:dPt>
          <c:dPt>
            <c:idx val="1"/>
            <c:bubble3D val="0"/>
            <c:spPr>
              <a:solidFill>
                <a:schemeClr val="accent2"/>
              </a:solidFill>
              <a:ln w="19050">
                <a:noFill/>
              </a:ln>
              <a:effectLst/>
            </c:spPr>
            <c:extLst>
              <c:ext xmlns:c16="http://schemas.microsoft.com/office/drawing/2014/chart" uri="{C3380CC4-5D6E-409C-BE32-E72D297353CC}">
                <c16:uniqueId val="{00000003-679E-41F7-A3FB-AACE106431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Dashboard!$K$20:$K$22</c:f>
              <c:strCache>
                <c:ptCount val="2"/>
                <c:pt idx="0">
                  <c:v>Cancelled</c:v>
                </c:pt>
                <c:pt idx="1">
                  <c:v>Not cancelled</c:v>
                </c:pt>
              </c:strCache>
            </c:strRef>
          </c:cat>
          <c:val>
            <c:numRef>
              <c:f>Dashboard!$L$20:$L$22</c:f>
              <c:numCache>
                <c:formatCode>General</c:formatCode>
                <c:ptCount val="2"/>
                <c:pt idx="0">
                  <c:v>45</c:v>
                </c:pt>
                <c:pt idx="1">
                  <c:v>155</c:v>
                </c:pt>
              </c:numCache>
            </c:numRef>
          </c:val>
          <c:extLst>
            <c:ext xmlns:c16="http://schemas.microsoft.com/office/drawing/2014/chart" uri="{C3380CC4-5D6E-409C-BE32-E72D297353CC}">
              <c16:uniqueId val="{00000004-679E-41F7-A3FB-AACE1064316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808367071524961"/>
          <c:y val="0.5827620177614784"/>
          <c:w val="0.38191632928475033"/>
          <c:h val="0.131279617445079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7" Type="http://schemas.microsoft.com/office/2007/relationships/hdphoto" Target="../media/hdphoto1.wdp"/><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png"/><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180974</xdr:colOff>
      <xdr:row>18</xdr:row>
      <xdr:rowOff>133351</xdr:rowOff>
    </xdr:from>
    <xdr:to>
      <xdr:col>9</xdr:col>
      <xdr:colOff>57149</xdr:colOff>
      <xdr:row>27</xdr:row>
      <xdr:rowOff>28575</xdr:rowOff>
    </xdr:to>
    <xdr:graphicFrame macro="">
      <xdr:nvGraphicFramePr>
        <xdr:cNvPr id="4" name="Chart 3">
          <a:extLst>
            <a:ext uri="{FF2B5EF4-FFF2-40B4-BE49-F238E27FC236}">
              <a16:creationId xmlns:a16="http://schemas.microsoft.com/office/drawing/2014/main" id="{BA0ADC19-B45A-CA88-245F-4E822F528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3</xdr:row>
      <xdr:rowOff>28575</xdr:rowOff>
    </xdr:from>
    <xdr:to>
      <xdr:col>17</xdr:col>
      <xdr:colOff>228600</xdr:colOff>
      <xdr:row>17</xdr:row>
      <xdr:rowOff>104775</xdr:rowOff>
    </xdr:to>
    <xdr:graphicFrame macro="">
      <xdr:nvGraphicFramePr>
        <xdr:cNvPr id="5" name="Chart 4">
          <a:extLst>
            <a:ext uri="{FF2B5EF4-FFF2-40B4-BE49-F238E27FC236}">
              <a16:creationId xmlns:a16="http://schemas.microsoft.com/office/drawing/2014/main" id="{BFD39AC2-EA07-BBF1-48A2-CA053846E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314325</xdr:colOff>
      <xdr:row>3</xdr:row>
      <xdr:rowOff>28575</xdr:rowOff>
    </xdr:from>
    <xdr:to>
      <xdr:col>21</xdr:col>
      <xdr:colOff>142874</xdr:colOff>
      <xdr:row>17</xdr:row>
      <xdr:rowOff>104775</xdr:rowOff>
    </xdr:to>
    <xdr:graphicFrame macro="">
      <xdr:nvGraphicFramePr>
        <xdr:cNvPr id="7" name="Chart 6">
          <a:extLst>
            <a:ext uri="{FF2B5EF4-FFF2-40B4-BE49-F238E27FC236}">
              <a16:creationId xmlns:a16="http://schemas.microsoft.com/office/drawing/2014/main" id="{00328A20-1CDA-B57D-BD20-F58A74EFB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xdr:colOff>
      <xdr:row>8</xdr:row>
      <xdr:rowOff>0</xdr:rowOff>
    </xdr:from>
    <xdr:to>
      <xdr:col>16</xdr:col>
      <xdr:colOff>352425</xdr:colOff>
      <xdr:row>16</xdr:row>
      <xdr:rowOff>190499</xdr:rowOff>
    </xdr:to>
    <xdr:graphicFrame macro="">
      <xdr:nvGraphicFramePr>
        <xdr:cNvPr id="6" name="Chart 5">
          <a:extLst>
            <a:ext uri="{FF2B5EF4-FFF2-40B4-BE49-F238E27FC236}">
              <a16:creationId xmlns:a16="http://schemas.microsoft.com/office/drawing/2014/main" id="{1BF137C4-FD95-4A4D-B55D-B473CE0E6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8</xdr:row>
      <xdr:rowOff>9525</xdr:rowOff>
    </xdr:from>
    <xdr:to>
      <xdr:col>8</xdr:col>
      <xdr:colOff>0</xdr:colOff>
      <xdr:row>17</xdr:row>
      <xdr:rowOff>9525</xdr:rowOff>
    </xdr:to>
    <xdr:graphicFrame macro="">
      <xdr:nvGraphicFramePr>
        <xdr:cNvPr id="9" name="Chart 8">
          <a:extLst>
            <a:ext uri="{FF2B5EF4-FFF2-40B4-BE49-F238E27FC236}">
              <a16:creationId xmlns:a16="http://schemas.microsoft.com/office/drawing/2014/main" id="{689F4D02-E80B-4F2F-AF93-20A889010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0</xdr:rowOff>
    </xdr:from>
    <xdr:to>
      <xdr:col>4</xdr:col>
      <xdr:colOff>200025</xdr:colOff>
      <xdr:row>16</xdr:row>
      <xdr:rowOff>180975</xdr:rowOff>
    </xdr:to>
    <xdr:graphicFrame macro="">
      <xdr:nvGraphicFramePr>
        <xdr:cNvPr id="10" name="Chart 9">
          <a:extLst>
            <a:ext uri="{FF2B5EF4-FFF2-40B4-BE49-F238E27FC236}">
              <a16:creationId xmlns:a16="http://schemas.microsoft.com/office/drawing/2014/main" id="{167DF126-7F9B-4249-A294-C487495F2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8</xdr:row>
      <xdr:rowOff>9526</xdr:rowOff>
    </xdr:from>
    <xdr:to>
      <xdr:col>11</xdr:col>
      <xdr:colOff>600074</xdr:colOff>
      <xdr:row>17</xdr:row>
      <xdr:rowOff>9526</xdr:rowOff>
    </xdr:to>
    <xdr:graphicFrame macro="">
      <xdr:nvGraphicFramePr>
        <xdr:cNvPr id="11" name="Chart 10">
          <a:extLst>
            <a:ext uri="{FF2B5EF4-FFF2-40B4-BE49-F238E27FC236}">
              <a16:creationId xmlns:a16="http://schemas.microsoft.com/office/drawing/2014/main" id="{04DA3FB3-6857-4097-9FF0-1E824B4A1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352425</xdr:colOff>
      <xdr:row>7</xdr:row>
      <xdr:rowOff>190499</xdr:rowOff>
    </xdr:from>
    <xdr:to>
      <xdr:col>19</xdr:col>
      <xdr:colOff>590550</xdr:colOff>
      <xdr:row>16</xdr:row>
      <xdr:rowOff>180974</xdr:rowOff>
    </xdr:to>
    <xdr:graphicFrame macro="">
      <xdr:nvGraphicFramePr>
        <xdr:cNvPr id="12" name="Chart 11">
          <a:extLst>
            <a:ext uri="{FF2B5EF4-FFF2-40B4-BE49-F238E27FC236}">
              <a16:creationId xmlns:a16="http://schemas.microsoft.com/office/drawing/2014/main" id="{44266284-FFE5-4C02-BCB9-4D4AD23B2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190500</xdr:colOff>
      <xdr:row>23</xdr:row>
      <xdr:rowOff>85724</xdr:rowOff>
    </xdr:from>
    <xdr:to>
      <xdr:col>12</xdr:col>
      <xdr:colOff>381000</xdr:colOff>
      <xdr:row>33</xdr:row>
      <xdr:rowOff>152399</xdr:rowOff>
    </xdr:to>
    <xdr:graphicFrame macro="">
      <xdr:nvGraphicFramePr>
        <xdr:cNvPr id="14" name="Chart 13">
          <a:extLst>
            <a:ext uri="{FF2B5EF4-FFF2-40B4-BE49-F238E27FC236}">
              <a16:creationId xmlns:a16="http://schemas.microsoft.com/office/drawing/2014/main" id="{A970295D-E068-63D6-9AAB-31BC15B76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19049</xdr:rowOff>
    </xdr:from>
    <xdr:to>
      <xdr:col>20</xdr:col>
      <xdr:colOff>600075</xdr:colOff>
      <xdr:row>2</xdr:row>
      <xdr:rowOff>123824</xdr:rowOff>
    </xdr:to>
    <xdr:sp macro="" textlink="">
      <xdr:nvSpPr>
        <xdr:cNvPr id="3" name="TextBox 2">
          <a:extLst>
            <a:ext uri="{FF2B5EF4-FFF2-40B4-BE49-F238E27FC236}">
              <a16:creationId xmlns:a16="http://schemas.microsoft.com/office/drawing/2014/main" id="{E7BD72E5-6253-4EBF-83B7-7C8F6F3D00FB}"/>
            </a:ext>
          </a:extLst>
        </xdr:cNvPr>
        <xdr:cNvSpPr txBox="1"/>
      </xdr:nvSpPr>
      <xdr:spPr>
        <a:xfrm>
          <a:off x="0" y="19049"/>
          <a:ext cx="12792075" cy="485775"/>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60000"/>
                  <a:lumOff val="40000"/>
                </a:schemeClr>
              </a:solidFill>
            </a:rPr>
            <a:t>Hotel Booking Cancellations</a:t>
          </a:r>
        </a:p>
      </xdr:txBody>
    </xdr:sp>
    <xdr:clientData/>
  </xdr:twoCellAnchor>
  <xdr:twoCellAnchor>
    <xdr:from>
      <xdr:col>10</xdr:col>
      <xdr:colOff>66674</xdr:colOff>
      <xdr:row>4</xdr:row>
      <xdr:rowOff>38100</xdr:rowOff>
    </xdr:from>
    <xdr:to>
      <xdr:col>15</xdr:col>
      <xdr:colOff>95249</xdr:colOff>
      <xdr:row>13</xdr:row>
      <xdr:rowOff>180975</xdr:rowOff>
    </xdr:to>
    <xdr:graphicFrame macro="">
      <xdr:nvGraphicFramePr>
        <xdr:cNvPr id="6" name="Chart 5">
          <a:extLst>
            <a:ext uri="{FF2B5EF4-FFF2-40B4-BE49-F238E27FC236}">
              <a16:creationId xmlns:a16="http://schemas.microsoft.com/office/drawing/2014/main" id="{9794F545-1CB9-459D-9285-0741CD529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180974</xdr:colOff>
      <xdr:row>13</xdr:row>
      <xdr:rowOff>66675</xdr:rowOff>
    </xdr:from>
    <xdr:to>
      <xdr:col>15</xdr:col>
      <xdr:colOff>190499</xdr:colOff>
      <xdr:row>24</xdr:row>
      <xdr:rowOff>57150</xdr:rowOff>
    </xdr:to>
    <xdr:graphicFrame macro="">
      <xdr:nvGraphicFramePr>
        <xdr:cNvPr id="7" name="Chart 6">
          <a:extLst>
            <a:ext uri="{FF2B5EF4-FFF2-40B4-BE49-F238E27FC236}">
              <a16:creationId xmlns:a16="http://schemas.microsoft.com/office/drawing/2014/main" id="{B3482B3E-62A8-4753-98C0-5D06C4AE3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xdr:colOff>
      <xdr:row>4</xdr:row>
      <xdr:rowOff>47625</xdr:rowOff>
    </xdr:from>
    <xdr:to>
      <xdr:col>20</xdr:col>
      <xdr:colOff>200025</xdr:colOff>
      <xdr:row>13</xdr:row>
      <xdr:rowOff>76200</xdr:rowOff>
    </xdr:to>
    <xdr:graphicFrame macro="">
      <xdr:nvGraphicFramePr>
        <xdr:cNvPr id="10" name="Chart 9">
          <a:extLst>
            <a:ext uri="{FF2B5EF4-FFF2-40B4-BE49-F238E27FC236}">
              <a16:creationId xmlns:a16="http://schemas.microsoft.com/office/drawing/2014/main" id="{FAD45E25-6407-4D8A-80B7-8C4B722E7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247649</xdr:colOff>
      <xdr:row>14</xdr:row>
      <xdr:rowOff>19050</xdr:rowOff>
    </xdr:from>
    <xdr:to>
      <xdr:col>20</xdr:col>
      <xdr:colOff>228600</xdr:colOff>
      <xdr:row>25</xdr:row>
      <xdr:rowOff>180976</xdr:rowOff>
    </xdr:to>
    <xdr:graphicFrame macro="">
      <xdr:nvGraphicFramePr>
        <xdr:cNvPr id="11" name="Chart 10">
          <a:extLst>
            <a:ext uri="{FF2B5EF4-FFF2-40B4-BE49-F238E27FC236}">
              <a16:creationId xmlns:a16="http://schemas.microsoft.com/office/drawing/2014/main" id="{7D9F87F5-D203-4569-B86A-6102FA028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209549</xdr:colOff>
      <xdr:row>8</xdr:row>
      <xdr:rowOff>133350</xdr:rowOff>
    </xdr:from>
    <xdr:to>
      <xdr:col>10</xdr:col>
      <xdr:colOff>238124</xdr:colOff>
      <xdr:row>24</xdr:row>
      <xdr:rowOff>171450</xdr:rowOff>
    </xdr:to>
    <xdr:graphicFrame macro="">
      <xdr:nvGraphicFramePr>
        <xdr:cNvPr id="13" name="Chart 12">
          <a:extLst>
            <a:ext uri="{FF2B5EF4-FFF2-40B4-BE49-F238E27FC236}">
              <a16:creationId xmlns:a16="http://schemas.microsoft.com/office/drawing/2014/main" id="{9D0938A2-A2D0-4051-9614-6C4DB6F21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28575</xdr:colOff>
      <xdr:row>5</xdr:row>
      <xdr:rowOff>28575</xdr:rowOff>
    </xdr:from>
    <xdr:to>
      <xdr:col>2</xdr:col>
      <xdr:colOff>561975</xdr:colOff>
      <xdr:row>10</xdr:row>
      <xdr:rowOff>38100</xdr:rowOff>
    </xdr:to>
    <mc:AlternateContent xmlns:mc="http://schemas.openxmlformats.org/markup-compatibility/2006" xmlns:a14="http://schemas.microsoft.com/office/drawing/2010/main">
      <mc:Choice Requires="a14">
        <xdr:graphicFrame macro="">
          <xdr:nvGraphicFramePr>
            <xdr:cNvPr id="15" name="Hotel">
              <a:extLst>
                <a:ext uri="{FF2B5EF4-FFF2-40B4-BE49-F238E27FC236}">
                  <a16:creationId xmlns:a16="http://schemas.microsoft.com/office/drawing/2014/main" id="{8D803A2B-CCCD-48C9-4DA7-047361CEC246}"/>
                </a:ext>
              </a:extLst>
            </xdr:cNvPr>
            <xdr:cNvGraphicFramePr/>
          </xdr:nvGraphicFramePr>
          <xdr:xfrm>
            <a:off x="0" y="0"/>
            <a:ext cx="0" cy="0"/>
          </xdr:xfrm>
          <a:graphic>
            <a:graphicData uri="http://schemas.microsoft.com/office/drawing/2010/slicer">
              <sle:slicer xmlns:sle="http://schemas.microsoft.com/office/drawing/2010/slicer" name="Hotel"/>
            </a:graphicData>
          </a:graphic>
        </xdr:graphicFrame>
      </mc:Choice>
      <mc:Fallback xmlns="">
        <xdr:sp macro="" textlink="">
          <xdr:nvSpPr>
            <xdr:cNvPr id="0" name=""/>
            <xdr:cNvSpPr>
              <a:spLocks noTextEdit="1"/>
            </xdr:cNvSpPr>
          </xdr:nvSpPr>
          <xdr:spPr>
            <a:xfrm>
              <a:off x="914399" y="2886074"/>
              <a:ext cx="1704976"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5</xdr:row>
      <xdr:rowOff>19051</xdr:rowOff>
    </xdr:from>
    <xdr:to>
      <xdr:col>5</xdr:col>
      <xdr:colOff>476250</xdr:colOff>
      <xdr:row>10</xdr:row>
      <xdr:rowOff>38101</xdr:rowOff>
    </xdr:to>
    <mc:AlternateContent xmlns:mc="http://schemas.openxmlformats.org/markup-compatibility/2006" xmlns:a14="http://schemas.microsoft.com/office/drawing/2010/main">
      <mc:Choice Requires="a14">
        <xdr:graphicFrame macro="">
          <xdr:nvGraphicFramePr>
            <xdr:cNvPr id="17" name="Is_Canceled">
              <a:extLst>
                <a:ext uri="{FF2B5EF4-FFF2-40B4-BE49-F238E27FC236}">
                  <a16:creationId xmlns:a16="http://schemas.microsoft.com/office/drawing/2014/main" id="{CE867065-968A-6257-B997-E1D7F629D866}"/>
                </a:ext>
              </a:extLst>
            </xdr:cNvPr>
            <xdr:cNvGraphicFramePr/>
          </xdr:nvGraphicFramePr>
          <xdr:xfrm>
            <a:off x="0" y="0"/>
            <a:ext cx="0" cy="0"/>
          </xdr:xfrm>
          <a:graphic>
            <a:graphicData uri="http://schemas.microsoft.com/office/drawing/2010/slicer">
              <sle:slicer xmlns:sle="http://schemas.microsoft.com/office/drawing/2010/slicer" name="Is_Canceled"/>
            </a:graphicData>
          </a:graphic>
        </xdr:graphicFrame>
      </mc:Choice>
      <mc:Fallback xmlns="">
        <xdr:sp macro="" textlink="">
          <xdr:nvSpPr>
            <xdr:cNvPr id="0" name=""/>
            <xdr:cNvSpPr>
              <a:spLocks noTextEdit="1"/>
            </xdr:cNvSpPr>
          </xdr:nvSpPr>
          <xdr:spPr>
            <a:xfrm>
              <a:off x="3086100" y="2914649"/>
              <a:ext cx="19431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85726</xdr:colOff>
      <xdr:row>16</xdr:row>
      <xdr:rowOff>104775</xdr:rowOff>
    </xdr:from>
    <xdr:to>
      <xdr:col>1</xdr:col>
      <xdr:colOff>600076</xdr:colOff>
      <xdr:row>18</xdr:row>
      <xdr:rowOff>0</xdr:rowOff>
    </xdr:to>
    <xdr:sp macro="" textlink="">
      <xdr:nvSpPr>
        <xdr:cNvPr id="2" name="TextBox 1">
          <a:extLst>
            <a:ext uri="{FF2B5EF4-FFF2-40B4-BE49-F238E27FC236}">
              <a16:creationId xmlns:a16="http://schemas.microsoft.com/office/drawing/2014/main" id="{F4DDFB57-A04C-529A-FC1B-D69BFCC9299E}"/>
            </a:ext>
          </a:extLst>
        </xdr:cNvPr>
        <xdr:cNvSpPr txBox="1"/>
      </xdr:nvSpPr>
      <xdr:spPr>
        <a:xfrm>
          <a:off x="85726" y="3152775"/>
          <a:ext cx="1123950" cy="276225"/>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2">
                  <a:lumMod val="40000"/>
                  <a:lumOff val="60000"/>
                </a:schemeClr>
              </a:solidFill>
            </a:rPr>
            <a:t>200</a:t>
          </a:r>
        </a:p>
      </xdr:txBody>
    </xdr:sp>
    <xdr:clientData/>
  </xdr:twoCellAnchor>
  <xdr:twoCellAnchor>
    <xdr:from>
      <xdr:col>0</xdr:col>
      <xdr:colOff>161925</xdr:colOff>
      <xdr:row>15</xdr:row>
      <xdr:rowOff>66675</xdr:rowOff>
    </xdr:from>
    <xdr:to>
      <xdr:col>2</xdr:col>
      <xdr:colOff>295275</xdr:colOff>
      <xdr:row>16</xdr:row>
      <xdr:rowOff>180975</xdr:rowOff>
    </xdr:to>
    <xdr:sp macro="" textlink="">
      <xdr:nvSpPr>
        <xdr:cNvPr id="4" name="TextBox 3">
          <a:extLst>
            <a:ext uri="{FF2B5EF4-FFF2-40B4-BE49-F238E27FC236}">
              <a16:creationId xmlns:a16="http://schemas.microsoft.com/office/drawing/2014/main" id="{12D4AAAC-A84E-18CD-1A7D-52BE7B19FFAD}"/>
            </a:ext>
          </a:extLst>
        </xdr:cNvPr>
        <xdr:cNvSpPr txBox="1"/>
      </xdr:nvSpPr>
      <xdr:spPr>
        <a:xfrm>
          <a:off x="161925" y="2924175"/>
          <a:ext cx="1352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2">
                  <a:lumMod val="40000"/>
                  <a:lumOff val="60000"/>
                </a:schemeClr>
              </a:solidFill>
            </a:rPr>
            <a:t>Total Bookings</a:t>
          </a:r>
        </a:p>
      </xdr:txBody>
    </xdr:sp>
    <xdr:clientData/>
  </xdr:twoCellAnchor>
  <xdr:twoCellAnchor editAs="oneCell">
    <xdr:from>
      <xdr:col>0</xdr:col>
      <xdr:colOff>266700</xdr:colOff>
      <xdr:row>11</xdr:row>
      <xdr:rowOff>142876</xdr:rowOff>
    </xdr:from>
    <xdr:to>
      <xdr:col>1</xdr:col>
      <xdr:colOff>381000</xdr:colOff>
      <xdr:row>15</xdr:row>
      <xdr:rowOff>85726</xdr:rowOff>
    </xdr:to>
    <xdr:pic>
      <xdr:nvPicPr>
        <xdr:cNvPr id="8" name="Picture 7">
          <a:extLst>
            <a:ext uri="{FF2B5EF4-FFF2-40B4-BE49-F238E27FC236}">
              <a16:creationId xmlns:a16="http://schemas.microsoft.com/office/drawing/2014/main" id="{1DB3897E-3C85-EE38-E48B-C8AACDC8C437}"/>
            </a:ext>
          </a:extLst>
        </xdr:cNvPr>
        <xdr:cNvPicPr>
          <a:picLocks noChangeAspect="1"/>
        </xdr:cNvPicPr>
      </xdr:nvPicPr>
      <xdr:blipFill>
        <a:blip xmlns:r="http://schemas.openxmlformats.org/officeDocument/2006/relationships" r:embed="rId6" cstate="print">
          <a:duotone>
            <a:schemeClr val="accent6">
              <a:shade val="45000"/>
              <a:satMod val="135000"/>
            </a:schemeClr>
            <a:prstClr val="white"/>
          </a:duotone>
          <a:extLst>
            <a:ext uri="{BEBA8EAE-BF5A-486C-A8C5-ECC9F3942E4B}">
              <a14:imgProps xmlns:a14="http://schemas.microsoft.com/office/drawing/2010/main">
                <a14:imgLayer r:embed="rId7">
                  <a14:imgEffect>
                    <a14:backgroundRemoval t="10000" b="90000" l="10000" r="90000">
                      <a14:foregroundMark x1="27556" y1="14222" x2="27556" y2="14222"/>
                      <a14:foregroundMark x1="41778" y1="12444" x2="41778" y2="12444"/>
                      <a14:foregroundMark x1="59111" y1="16889" x2="59111" y2="16889"/>
                      <a14:foregroundMark x1="47111" y1="25778" x2="47111" y2="25778"/>
                      <a14:foregroundMark x1="67556" y1="79556" x2="67556" y2="79556"/>
                    </a14:backgroundRemoval>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66700" y="2238376"/>
          <a:ext cx="723900" cy="704850"/>
        </a:xfrm>
        <a:prstGeom prst="rect">
          <a:avLst/>
        </a:prstGeom>
      </xdr:spPr>
    </xdr:pic>
    <xdr:clientData/>
  </xdr:twoCellAnchor>
  <xdr:twoCellAnchor editAs="oneCell">
    <xdr:from>
      <xdr:col>3</xdr:col>
      <xdr:colOff>104775</xdr:colOff>
      <xdr:row>11</xdr:row>
      <xdr:rowOff>142875</xdr:rowOff>
    </xdr:from>
    <xdr:to>
      <xdr:col>4</xdr:col>
      <xdr:colOff>219075</xdr:colOff>
      <xdr:row>15</xdr:row>
      <xdr:rowOff>104775</xdr:rowOff>
    </xdr:to>
    <xdr:pic>
      <xdr:nvPicPr>
        <xdr:cNvPr id="16" name="Picture 15">
          <a:extLst>
            <a:ext uri="{FF2B5EF4-FFF2-40B4-BE49-F238E27FC236}">
              <a16:creationId xmlns:a16="http://schemas.microsoft.com/office/drawing/2014/main" id="{8BFA16A8-A846-40B3-B972-AB24E35620EB}"/>
            </a:ext>
          </a:extLst>
        </xdr:cNvPr>
        <xdr:cNvPicPr>
          <a:picLocks noChangeAspect="1"/>
        </xdr:cNvPicPr>
      </xdr:nvPicPr>
      <xdr:blipFill>
        <a:blip xmlns:r="http://schemas.openxmlformats.org/officeDocument/2006/relationships" r:embed="rId6" cstate="print">
          <a:duotone>
            <a:schemeClr val="accent6">
              <a:shade val="45000"/>
              <a:satMod val="135000"/>
            </a:schemeClr>
            <a:prstClr val="white"/>
          </a:duotone>
          <a:extLst>
            <a:ext uri="{BEBA8EAE-BF5A-486C-A8C5-ECC9F3942E4B}">
              <a14:imgProps xmlns:a14="http://schemas.microsoft.com/office/drawing/2010/main">
                <a14:imgLayer r:embed="rId7">
                  <a14:imgEffect>
                    <a14:backgroundRemoval t="10000" b="90000" l="10000" r="90000">
                      <a14:foregroundMark x1="27556" y1="14222" x2="27556" y2="14222"/>
                      <a14:foregroundMark x1="41778" y1="12444" x2="41778" y2="12444"/>
                      <a14:foregroundMark x1="59111" y1="16889" x2="59111" y2="16889"/>
                      <a14:foregroundMark x1="47111" y1="25778" x2="47111" y2="25778"/>
                      <a14:foregroundMark x1="67556" y1="79556" x2="67556" y2="79556"/>
                    </a14:backgroundRemoval>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933575" y="2238375"/>
          <a:ext cx="723900" cy="723900"/>
        </a:xfrm>
        <a:prstGeom prst="rect">
          <a:avLst/>
        </a:prstGeom>
      </xdr:spPr>
    </xdr:pic>
    <xdr:clientData/>
  </xdr:twoCellAnchor>
  <xdr:twoCellAnchor>
    <xdr:from>
      <xdr:col>2</xdr:col>
      <xdr:colOff>381000</xdr:colOff>
      <xdr:row>16</xdr:row>
      <xdr:rowOff>142875</xdr:rowOff>
    </xdr:from>
    <xdr:to>
      <xdr:col>4</xdr:col>
      <xdr:colOff>561975</xdr:colOff>
      <xdr:row>18</xdr:row>
      <xdr:rowOff>57150</xdr:rowOff>
    </xdr:to>
    <xdr:sp macro="" textlink="">
      <xdr:nvSpPr>
        <xdr:cNvPr id="19" name="TextBox 18">
          <a:extLst>
            <a:ext uri="{FF2B5EF4-FFF2-40B4-BE49-F238E27FC236}">
              <a16:creationId xmlns:a16="http://schemas.microsoft.com/office/drawing/2014/main" id="{3370B0CF-FDB9-7A83-85A9-05487ED3CE7B}"/>
            </a:ext>
          </a:extLst>
        </xdr:cNvPr>
        <xdr:cNvSpPr txBox="1"/>
      </xdr:nvSpPr>
      <xdr:spPr>
        <a:xfrm>
          <a:off x="1600200" y="3190875"/>
          <a:ext cx="1400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2">
                  <a:lumMod val="40000"/>
                  <a:lumOff val="60000"/>
                </a:schemeClr>
              </a:solidFill>
            </a:rPr>
            <a:t>45</a:t>
          </a:r>
        </a:p>
      </xdr:txBody>
    </xdr:sp>
    <xdr:clientData/>
  </xdr:twoCellAnchor>
  <xdr:twoCellAnchor>
    <xdr:from>
      <xdr:col>2</xdr:col>
      <xdr:colOff>314325</xdr:colOff>
      <xdr:row>15</xdr:row>
      <xdr:rowOff>85725</xdr:rowOff>
    </xdr:from>
    <xdr:to>
      <xdr:col>5</xdr:col>
      <xdr:colOff>57149</xdr:colOff>
      <xdr:row>17</xdr:row>
      <xdr:rowOff>66675</xdr:rowOff>
    </xdr:to>
    <xdr:sp macro="" textlink="">
      <xdr:nvSpPr>
        <xdr:cNvPr id="20" name="TextBox 19">
          <a:extLst>
            <a:ext uri="{FF2B5EF4-FFF2-40B4-BE49-F238E27FC236}">
              <a16:creationId xmlns:a16="http://schemas.microsoft.com/office/drawing/2014/main" id="{EF619B1B-10B0-88F8-10E7-6A81F5E5319A}"/>
            </a:ext>
          </a:extLst>
        </xdr:cNvPr>
        <xdr:cNvSpPr txBox="1"/>
      </xdr:nvSpPr>
      <xdr:spPr>
        <a:xfrm>
          <a:off x="1533525" y="2943225"/>
          <a:ext cx="1571624"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2">
                  <a:lumMod val="40000"/>
                  <a:lumOff val="60000"/>
                </a:schemeClr>
              </a:solidFill>
            </a:rPr>
            <a:t>Total Cancellations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0.968703125" createdVersion="8" refreshedVersion="8" minRefreshableVersion="3" recordCount="200" xr:uid="{410A30D9-045D-44DF-89E5-40B52054F25B}">
  <cacheSource type="worksheet">
    <worksheetSource ref="A1:K201" sheet="Hotel Bookings"/>
  </cacheSource>
  <cacheFields count="11">
    <cacheField name="Booking_ID" numFmtId="0">
      <sharedItems containsSemiMixedTypes="0" containsString="0" containsNumber="1" containsInteger="1" minValue="1001" maxValue="1200" count="2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sharedItems>
    </cacheField>
    <cacheField name="Hotel" numFmtId="0">
      <sharedItems count="2">
        <s v="City Hotel"/>
        <s v="Resort Hotel"/>
      </sharedItems>
    </cacheField>
    <cacheField name="Is_Canceled" numFmtId="0">
      <sharedItems containsSemiMixedTypes="0" containsString="0" containsNumber="1" containsInteger="1" minValue="0" maxValue="1" count="2">
        <n v="0"/>
        <n v="1"/>
      </sharedItems>
    </cacheField>
    <cacheField name="Arrival_Date_Month" numFmtId="0">
      <sharedItems count="12">
        <s v="July"/>
        <s v="March"/>
        <s v="May"/>
        <s v="October"/>
        <s v="August"/>
        <s v="January"/>
        <s v="June"/>
        <s v="November"/>
        <s v="September"/>
        <s v="February"/>
        <s v="April"/>
        <s v="December"/>
      </sharedItems>
    </cacheField>
    <cacheField name="Country" numFmtId="0">
      <sharedItems count="10">
        <s v="USA"/>
        <s v="UK"/>
        <s v="India"/>
        <s v="France"/>
        <s v="Brazil"/>
        <s v="South Africa"/>
        <s v="Canada"/>
        <s v="UAE"/>
        <s v="Australia"/>
        <s v="Germany"/>
      </sharedItems>
    </cacheField>
    <cacheField name="Adults" numFmtId="0">
      <sharedItems containsSemiMixedTypes="0" containsString="0" containsNumber="1" containsInteger="1" minValue="1" maxValue="3"/>
    </cacheField>
    <cacheField name="Children" numFmtId="0">
      <sharedItems containsSemiMixedTypes="0" containsString="0" containsNumber="1" containsInteger="1" minValue="0" maxValue="2"/>
    </cacheField>
    <cacheField name="Babies" numFmtId="0">
      <sharedItems containsSemiMixedTypes="0" containsString="0" containsNumber="1" containsInteger="1" minValue="0" maxValue="1"/>
    </cacheField>
    <cacheField name="Stays_Weekend_Nights" numFmtId="0">
      <sharedItems containsSemiMixedTypes="0" containsString="0" containsNumber="1" containsInteger="1" minValue="0" maxValue="3"/>
    </cacheField>
    <cacheField name="Stays_Week_Nights" numFmtId="0">
      <sharedItems containsSemiMixedTypes="0" containsString="0" containsNumber="1" containsInteger="1" minValue="1" maxValue="7"/>
    </cacheField>
    <cacheField name="ADR" numFmtId="0">
      <sharedItems containsSemiMixedTypes="0" containsString="0" containsNumber="1" minValue="50.57" maxValue="318.42"/>
    </cacheField>
  </cacheFields>
  <extLst>
    <ext xmlns:x14="http://schemas.microsoft.com/office/spreadsheetml/2009/9/main" uri="{725AE2AE-9491-48be-B2B4-4EB974FC3084}">
      <x14:pivotCacheDefinition pivotCacheId="3319761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0.981942824073" createdVersion="8" refreshedVersion="8" minRefreshableVersion="3" recordCount="200" xr:uid="{A03A4D64-A049-4EA1-A88B-83A4C3D17D29}">
  <cacheSource type="worksheet">
    <worksheetSource name="Table1"/>
  </cacheSource>
  <cacheFields count="13">
    <cacheField name="Booking_ID" numFmtId="0">
      <sharedItems containsSemiMixedTypes="0" containsString="0" containsNumber="1" containsInteger="1" minValue="1001" maxValue="1200" count="2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sharedItems>
    </cacheField>
    <cacheField name="Hotel" numFmtId="0">
      <sharedItems count="2">
        <s v="City Hotel"/>
        <s v="Resort Hotel"/>
      </sharedItems>
    </cacheField>
    <cacheField name="Is_Canceled" numFmtId="0">
      <sharedItems containsSemiMixedTypes="0" containsString="0" containsNumber="1" containsInteger="1" minValue="0" maxValue="1"/>
    </cacheField>
    <cacheField name="Arrival_Date_Month" numFmtId="0">
      <sharedItems/>
    </cacheField>
    <cacheField name="Country" numFmtId="0">
      <sharedItems/>
    </cacheField>
    <cacheField name="Adults" numFmtId="0">
      <sharedItems containsSemiMixedTypes="0" containsString="0" containsNumber="1" containsInteger="1" minValue="1" maxValue="3"/>
    </cacheField>
    <cacheField name="Children" numFmtId="0">
      <sharedItems containsSemiMixedTypes="0" containsString="0" containsNumber="1" containsInteger="1" minValue="0" maxValue="2"/>
    </cacheField>
    <cacheField name="Babies" numFmtId="0">
      <sharedItems containsSemiMixedTypes="0" containsString="0" containsNumber="1" containsInteger="1" minValue="0" maxValue="1"/>
    </cacheField>
    <cacheField name="Stays_Weekend_Nights" numFmtId="0">
      <sharedItems containsSemiMixedTypes="0" containsString="0" containsNumber="1" containsInteger="1" minValue="0" maxValue="3"/>
    </cacheField>
    <cacheField name="Stays_Week_Nights" numFmtId="0">
      <sharedItems containsSemiMixedTypes="0" containsString="0" containsNumber="1" containsInteger="1" minValue="1" maxValue="7"/>
    </cacheField>
    <cacheField name="ADR" numFmtId="0">
      <sharedItems containsSemiMixedTypes="0" containsString="0" containsNumber="1" minValue="50.57" maxValue="318.42"/>
    </cacheField>
    <cacheField name="Cancellation_status" numFmtId="0">
      <sharedItems count="2">
        <s v="Not cancelled"/>
        <s v="Cancelled"/>
      </sharedItems>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1"/>
    <n v="0"/>
    <n v="0"/>
    <n v="0"/>
    <n v="4"/>
    <n v="248.71"/>
  </r>
  <r>
    <x v="1"/>
    <x v="0"/>
    <x v="0"/>
    <x v="1"/>
    <x v="1"/>
    <n v="1"/>
    <n v="0"/>
    <n v="0"/>
    <n v="1"/>
    <n v="7"/>
    <n v="108.6"/>
  </r>
  <r>
    <x v="2"/>
    <x v="0"/>
    <x v="1"/>
    <x v="2"/>
    <x v="2"/>
    <n v="2"/>
    <n v="2"/>
    <n v="0"/>
    <n v="0"/>
    <n v="2"/>
    <n v="193.87"/>
  </r>
  <r>
    <x v="3"/>
    <x v="0"/>
    <x v="0"/>
    <x v="3"/>
    <x v="2"/>
    <n v="2"/>
    <n v="2"/>
    <n v="0"/>
    <n v="3"/>
    <n v="3"/>
    <n v="288.07"/>
  </r>
  <r>
    <x v="4"/>
    <x v="0"/>
    <x v="0"/>
    <x v="4"/>
    <x v="3"/>
    <n v="1"/>
    <n v="0"/>
    <n v="0"/>
    <n v="2"/>
    <n v="2"/>
    <n v="269.88"/>
  </r>
  <r>
    <x v="5"/>
    <x v="0"/>
    <x v="0"/>
    <x v="0"/>
    <x v="4"/>
    <n v="2"/>
    <n v="1"/>
    <n v="0"/>
    <n v="3"/>
    <n v="4"/>
    <n v="101.14"/>
  </r>
  <r>
    <x v="6"/>
    <x v="0"/>
    <x v="0"/>
    <x v="0"/>
    <x v="1"/>
    <n v="2"/>
    <n v="1"/>
    <n v="0"/>
    <n v="3"/>
    <n v="7"/>
    <n v="142.41"/>
  </r>
  <r>
    <x v="7"/>
    <x v="0"/>
    <x v="0"/>
    <x v="5"/>
    <x v="1"/>
    <n v="1"/>
    <n v="0"/>
    <n v="0"/>
    <n v="0"/>
    <n v="2"/>
    <n v="297.68"/>
  </r>
  <r>
    <x v="8"/>
    <x v="1"/>
    <x v="0"/>
    <x v="3"/>
    <x v="0"/>
    <n v="3"/>
    <n v="2"/>
    <n v="0"/>
    <n v="2"/>
    <n v="3"/>
    <n v="317.7"/>
  </r>
  <r>
    <x v="9"/>
    <x v="1"/>
    <x v="0"/>
    <x v="4"/>
    <x v="1"/>
    <n v="3"/>
    <n v="0"/>
    <n v="0"/>
    <n v="0"/>
    <n v="3"/>
    <n v="167.45"/>
  </r>
  <r>
    <x v="10"/>
    <x v="1"/>
    <x v="1"/>
    <x v="3"/>
    <x v="2"/>
    <n v="3"/>
    <n v="0"/>
    <n v="0"/>
    <n v="1"/>
    <n v="7"/>
    <n v="317.94"/>
  </r>
  <r>
    <x v="11"/>
    <x v="1"/>
    <x v="0"/>
    <x v="0"/>
    <x v="2"/>
    <n v="3"/>
    <n v="0"/>
    <n v="0"/>
    <n v="2"/>
    <n v="3"/>
    <n v="70.14"/>
  </r>
  <r>
    <x v="12"/>
    <x v="0"/>
    <x v="0"/>
    <x v="0"/>
    <x v="5"/>
    <n v="2"/>
    <n v="0"/>
    <n v="0"/>
    <n v="3"/>
    <n v="3"/>
    <n v="94.78"/>
  </r>
  <r>
    <x v="13"/>
    <x v="0"/>
    <x v="0"/>
    <x v="0"/>
    <x v="6"/>
    <n v="3"/>
    <n v="0"/>
    <n v="0"/>
    <n v="2"/>
    <n v="4"/>
    <n v="116.69"/>
  </r>
  <r>
    <x v="14"/>
    <x v="1"/>
    <x v="0"/>
    <x v="3"/>
    <x v="2"/>
    <n v="3"/>
    <n v="0"/>
    <n v="0"/>
    <n v="0"/>
    <n v="3"/>
    <n v="240.04"/>
  </r>
  <r>
    <x v="15"/>
    <x v="0"/>
    <x v="0"/>
    <x v="6"/>
    <x v="2"/>
    <n v="2"/>
    <n v="0"/>
    <n v="0"/>
    <n v="0"/>
    <n v="1"/>
    <n v="121.14"/>
  </r>
  <r>
    <x v="16"/>
    <x v="0"/>
    <x v="0"/>
    <x v="5"/>
    <x v="1"/>
    <n v="3"/>
    <n v="0"/>
    <n v="0"/>
    <n v="1"/>
    <n v="6"/>
    <n v="221.04"/>
  </r>
  <r>
    <x v="17"/>
    <x v="0"/>
    <x v="0"/>
    <x v="4"/>
    <x v="2"/>
    <n v="2"/>
    <n v="1"/>
    <n v="0"/>
    <n v="2"/>
    <n v="3"/>
    <n v="249.92"/>
  </r>
  <r>
    <x v="18"/>
    <x v="0"/>
    <x v="0"/>
    <x v="7"/>
    <x v="1"/>
    <n v="3"/>
    <n v="0"/>
    <n v="1"/>
    <n v="2"/>
    <n v="5"/>
    <n v="182.36"/>
  </r>
  <r>
    <x v="19"/>
    <x v="0"/>
    <x v="1"/>
    <x v="8"/>
    <x v="1"/>
    <n v="2"/>
    <n v="1"/>
    <n v="0"/>
    <n v="0"/>
    <n v="2"/>
    <n v="144.84"/>
  </r>
  <r>
    <x v="20"/>
    <x v="0"/>
    <x v="0"/>
    <x v="7"/>
    <x v="0"/>
    <n v="1"/>
    <n v="0"/>
    <n v="0"/>
    <n v="3"/>
    <n v="2"/>
    <n v="112.08"/>
  </r>
  <r>
    <x v="21"/>
    <x v="1"/>
    <x v="0"/>
    <x v="0"/>
    <x v="2"/>
    <n v="1"/>
    <n v="0"/>
    <n v="0"/>
    <n v="0"/>
    <n v="7"/>
    <n v="312.24"/>
  </r>
  <r>
    <x v="22"/>
    <x v="1"/>
    <x v="1"/>
    <x v="0"/>
    <x v="7"/>
    <n v="3"/>
    <n v="0"/>
    <n v="0"/>
    <n v="2"/>
    <n v="3"/>
    <n v="277.39"/>
  </r>
  <r>
    <x v="23"/>
    <x v="1"/>
    <x v="1"/>
    <x v="4"/>
    <x v="2"/>
    <n v="3"/>
    <n v="0"/>
    <n v="0"/>
    <n v="2"/>
    <n v="2"/>
    <n v="173.8"/>
  </r>
  <r>
    <x v="24"/>
    <x v="0"/>
    <x v="0"/>
    <x v="9"/>
    <x v="4"/>
    <n v="1"/>
    <n v="0"/>
    <n v="0"/>
    <n v="2"/>
    <n v="6"/>
    <n v="268.92"/>
  </r>
  <r>
    <x v="25"/>
    <x v="1"/>
    <x v="0"/>
    <x v="0"/>
    <x v="6"/>
    <n v="2"/>
    <n v="2"/>
    <n v="0"/>
    <n v="0"/>
    <n v="6"/>
    <n v="261.35000000000002"/>
  </r>
  <r>
    <x v="26"/>
    <x v="1"/>
    <x v="0"/>
    <x v="6"/>
    <x v="8"/>
    <n v="3"/>
    <n v="0"/>
    <n v="0"/>
    <n v="3"/>
    <n v="1"/>
    <n v="269"/>
  </r>
  <r>
    <x v="27"/>
    <x v="0"/>
    <x v="0"/>
    <x v="7"/>
    <x v="3"/>
    <n v="2"/>
    <n v="0"/>
    <n v="0"/>
    <n v="0"/>
    <n v="5"/>
    <n v="106.18"/>
  </r>
  <r>
    <x v="28"/>
    <x v="0"/>
    <x v="0"/>
    <x v="0"/>
    <x v="2"/>
    <n v="3"/>
    <n v="1"/>
    <n v="0"/>
    <n v="3"/>
    <n v="5"/>
    <n v="122.13"/>
  </r>
  <r>
    <x v="29"/>
    <x v="0"/>
    <x v="0"/>
    <x v="3"/>
    <x v="0"/>
    <n v="3"/>
    <n v="0"/>
    <n v="0"/>
    <n v="1"/>
    <n v="1"/>
    <n v="275.14"/>
  </r>
  <r>
    <x v="30"/>
    <x v="1"/>
    <x v="0"/>
    <x v="9"/>
    <x v="6"/>
    <n v="3"/>
    <n v="2"/>
    <n v="1"/>
    <n v="1"/>
    <n v="1"/>
    <n v="90.17"/>
  </r>
  <r>
    <x v="31"/>
    <x v="0"/>
    <x v="1"/>
    <x v="7"/>
    <x v="3"/>
    <n v="1"/>
    <n v="0"/>
    <n v="0"/>
    <n v="3"/>
    <n v="3"/>
    <n v="78.66"/>
  </r>
  <r>
    <x v="32"/>
    <x v="1"/>
    <x v="0"/>
    <x v="6"/>
    <x v="2"/>
    <n v="2"/>
    <n v="2"/>
    <n v="0"/>
    <n v="3"/>
    <n v="5"/>
    <n v="75.38"/>
  </r>
  <r>
    <x v="33"/>
    <x v="0"/>
    <x v="0"/>
    <x v="3"/>
    <x v="2"/>
    <n v="1"/>
    <n v="0"/>
    <n v="0"/>
    <n v="1"/>
    <n v="1"/>
    <n v="280.79000000000002"/>
  </r>
  <r>
    <x v="34"/>
    <x v="0"/>
    <x v="1"/>
    <x v="2"/>
    <x v="3"/>
    <n v="3"/>
    <n v="0"/>
    <n v="0"/>
    <n v="1"/>
    <n v="2"/>
    <n v="110.33"/>
  </r>
  <r>
    <x v="35"/>
    <x v="0"/>
    <x v="0"/>
    <x v="5"/>
    <x v="7"/>
    <n v="2"/>
    <n v="0"/>
    <n v="0"/>
    <n v="1"/>
    <n v="7"/>
    <n v="194.14"/>
  </r>
  <r>
    <x v="36"/>
    <x v="0"/>
    <x v="1"/>
    <x v="1"/>
    <x v="2"/>
    <n v="1"/>
    <n v="0"/>
    <n v="0"/>
    <n v="3"/>
    <n v="7"/>
    <n v="278.04000000000002"/>
  </r>
  <r>
    <x v="37"/>
    <x v="0"/>
    <x v="0"/>
    <x v="6"/>
    <x v="0"/>
    <n v="1"/>
    <n v="0"/>
    <n v="0"/>
    <n v="0"/>
    <n v="6"/>
    <n v="288.19"/>
  </r>
  <r>
    <x v="38"/>
    <x v="0"/>
    <x v="0"/>
    <x v="4"/>
    <x v="2"/>
    <n v="3"/>
    <n v="0"/>
    <n v="1"/>
    <n v="0"/>
    <n v="4"/>
    <n v="228.48"/>
  </r>
  <r>
    <x v="39"/>
    <x v="0"/>
    <x v="0"/>
    <x v="5"/>
    <x v="2"/>
    <n v="3"/>
    <n v="0"/>
    <n v="1"/>
    <n v="1"/>
    <n v="6"/>
    <n v="190.56"/>
  </r>
  <r>
    <x v="40"/>
    <x v="1"/>
    <x v="0"/>
    <x v="0"/>
    <x v="3"/>
    <n v="2"/>
    <n v="1"/>
    <n v="0"/>
    <n v="0"/>
    <n v="5"/>
    <n v="186.35"/>
  </r>
  <r>
    <x v="41"/>
    <x v="0"/>
    <x v="0"/>
    <x v="2"/>
    <x v="2"/>
    <n v="3"/>
    <n v="0"/>
    <n v="0"/>
    <n v="2"/>
    <n v="2"/>
    <n v="252.86"/>
  </r>
  <r>
    <x v="42"/>
    <x v="0"/>
    <x v="0"/>
    <x v="8"/>
    <x v="7"/>
    <n v="2"/>
    <n v="1"/>
    <n v="0"/>
    <n v="3"/>
    <n v="3"/>
    <n v="85.81"/>
  </r>
  <r>
    <x v="43"/>
    <x v="0"/>
    <x v="0"/>
    <x v="3"/>
    <x v="2"/>
    <n v="2"/>
    <n v="0"/>
    <n v="0"/>
    <n v="1"/>
    <n v="1"/>
    <n v="85.99"/>
  </r>
  <r>
    <x v="44"/>
    <x v="0"/>
    <x v="1"/>
    <x v="1"/>
    <x v="0"/>
    <n v="1"/>
    <n v="1"/>
    <n v="0"/>
    <n v="2"/>
    <n v="1"/>
    <n v="82.51"/>
  </r>
  <r>
    <x v="45"/>
    <x v="0"/>
    <x v="0"/>
    <x v="8"/>
    <x v="0"/>
    <n v="3"/>
    <n v="1"/>
    <n v="0"/>
    <n v="3"/>
    <n v="4"/>
    <n v="180.65"/>
  </r>
  <r>
    <x v="46"/>
    <x v="1"/>
    <x v="0"/>
    <x v="10"/>
    <x v="2"/>
    <n v="1"/>
    <n v="0"/>
    <n v="0"/>
    <n v="2"/>
    <n v="3"/>
    <n v="98.79"/>
  </r>
  <r>
    <x v="47"/>
    <x v="0"/>
    <x v="0"/>
    <x v="0"/>
    <x v="0"/>
    <n v="1"/>
    <n v="0"/>
    <n v="0"/>
    <n v="2"/>
    <n v="7"/>
    <n v="210.02"/>
  </r>
  <r>
    <x v="48"/>
    <x v="0"/>
    <x v="0"/>
    <x v="4"/>
    <x v="5"/>
    <n v="1"/>
    <n v="1"/>
    <n v="1"/>
    <n v="2"/>
    <n v="7"/>
    <n v="134.12"/>
  </r>
  <r>
    <x v="49"/>
    <x v="1"/>
    <x v="1"/>
    <x v="5"/>
    <x v="6"/>
    <n v="3"/>
    <n v="0"/>
    <n v="0"/>
    <n v="2"/>
    <n v="5"/>
    <n v="244.8"/>
  </r>
  <r>
    <x v="50"/>
    <x v="0"/>
    <x v="0"/>
    <x v="1"/>
    <x v="3"/>
    <n v="2"/>
    <n v="0"/>
    <n v="0"/>
    <n v="2"/>
    <n v="3"/>
    <n v="86.43"/>
  </r>
  <r>
    <x v="51"/>
    <x v="0"/>
    <x v="0"/>
    <x v="3"/>
    <x v="7"/>
    <n v="1"/>
    <n v="1"/>
    <n v="0"/>
    <n v="0"/>
    <n v="2"/>
    <n v="166.88"/>
  </r>
  <r>
    <x v="52"/>
    <x v="0"/>
    <x v="1"/>
    <x v="8"/>
    <x v="0"/>
    <n v="2"/>
    <n v="0"/>
    <n v="1"/>
    <n v="1"/>
    <n v="1"/>
    <n v="56.25"/>
  </r>
  <r>
    <x v="53"/>
    <x v="1"/>
    <x v="0"/>
    <x v="2"/>
    <x v="2"/>
    <n v="3"/>
    <n v="0"/>
    <n v="0"/>
    <n v="1"/>
    <n v="1"/>
    <n v="244.43"/>
  </r>
  <r>
    <x v="54"/>
    <x v="0"/>
    <x v="0"/>
    <x v="11"/>
    <x v="2"/>
    <n v="2"/>
    <n v="0"/>
    <n v="0"/>
    <n v="3"/>
    <n v="2"/>
    <n v="203.82"/>
  </r>
  <r>
    <x v="55"/>
    <x v="1"/>
    <x v="1"/>
    <x v="0"/>
    <x v="9"/>
    <n v="1"/>
    <n v="1"/>
    <n v="0"/>
    <n v="0"/>
    <n v="5"/>
    <n v="289.18"/>
  </r>
  <r>
    <x v="56"/>
    <x v="1"/>
    <x v="0"/>
    <x v="8"/>
    <x v="9"/>
    <n v="1"/>
    <n v="0"/>
    <n v="0"/>
    <n v="1"/>
    <n v="3"/>
    <n v="139.61000000000001"/>
  </r>
  <r>
    <x v="57"/>
    <x v="0"/>
    <x v="0"/>
    <x v="0"/>
    <x v="1"/>
    <n v="1"/>
    <n v="0"/>
    <n v="0"/>
    <n v="1"/>
    <n v="7"/>
    <n v="254.17"/>
  </r>
  <r>
    <x v="58"/>
    <x v="0"/>
    <x v="1"/>
    <x v="6"/>
    <x v="2"/>
    <n v="3"/>
    <n v="1"/>
    <n v="0"/>
    <n v="3"/>
    <n v="7"/>
    <n v="51.23"/>
  </r>
  <r>
    <x v="59"/>
    <x v="0"/>
    <x v="0"/>
    <x v="10"/>
    <x v="3"/>
    <n v="1"/>
    <n v="0"/>
    <n v="0"/>
    <n v="2"/>
    <n v="5"/>
    <n v="276.14999999999998"/>
  </r>
  <r>
    <x v="60"/>
    <x v="0"/>
    <x v="0"/>
    <x v="9"/>
    <x v="8"/>
    <n v="1"/>
    <n v="0"/>
    <n v="0"/>
    <n v="3"/>
    <n v="4"/>
    <n v="188.23"/>
  </r>
  <r>
    <x v="61"/>
    <x v="1"/>
    <x v="0"/>
    <x v="6"/>
    <x v="3"/>
    <n v="2"/>
    <n v="0"/>
    <n v="0"/>
    <n v="3"/>
    <n v="4"/>
    <n v="74.92"/>
  </r>
  <r>
    <x v="62"/>
    <x v="0"/>
    <x v="0"/>
    <x v="5"/>
    <x v="2"/>
    <n v="2"/>
    <n v="0"/>
    <n v="0"/>
    <n v="2"/>
    <n v="1"/>
    <n v="245.79"/>
  </r>
  <r>
    <x v="63"/>
    <x v="0"/>
    <x v="0"/>
    <x v="7"/>
    <x v="2"/>
    <n v="1"/>
    <n v="1"/>
    <n v="0"/>
    <n v="1"/>
    <n v="4"/>
    <n v="108.64"/>
  </r>
  <r>
    <x v="64"/>
    <x v="1"/>
    <x v="0"/>
    <x v="6"/>
    <x v="3"/>
    <n v="1"/>
    <n v="0"/>
    <n v="0"/>
    <n v="3"/>
    <n v="3"/>
    <n v="113.38"/>
  </r>
  <r>
    <x v="65"/>
    <x v="0"/>
    <x v="0"/>
    <x v="2"/>
    <x v="2"/>
    <n v="1"/>
    <n v="0"/>
    <n v="0"/>
    <n v="3"/>
    <n v="2"/>
    <n v="171.58"/>
  </r>
  <r>
    <x v="66"/>
    <x v="1"/>
    <x v="0"/>
    <x v="0"/>
    <x v="0"/>
    <n v="2"/>
    <n v="0"/>
    <n v="0"/>
    <n v="2"/>
    <n v="4"/>
    <n v="134.01"/>
  </r>
  <r>
    <x v="67"/>
    <x v="1"/>
    <x v="0"/>
    <x v="1"/>
    <x v="1"/>
    <n v="2"/>
    <n v="0"/>
    <n v="0"/>
    <n v="2"/>
    <n v="2"/>
    <n v="127.06"/>
  </r>
  <r>
    <x v="68"/>
    <x v="0"/>
    <x v="0"/>
    <x v="5"/>
    <x v="4"/>
    <n v="3"/>
    <n v="2"/>
    <n v="0"/>
    <n v="0"/>
    <n v="7"/>
    <n v="241.13"/>
  </r>
  <r>
    <x v="69"/>
    <x v="0"/>
    <x v="0"/>
    <x v="6"/>
    <x v="7"/>
    <n v="2"/>
    <n v="0"/>
    <n v="0"/>
    <n v="2"/>
    <n v="3"/>
    <n v="248.39"/>
  </r>
  <r>
    <x v="70"/>
    <x v="1"/>
    <x v="0"/>
    <x v="11"/>
    <x v="7"/>
    <n v="1"/>
    <n v="0"/>
    <n v="0"/>
    <n v="1"/>
    <n v="3"/>
    <n v="270.97000000000003"/>
  </r>
  <r>
    <x v="71"/>
    <x v="0"/>
    <x v="1"/>
    <x v="0"/>
    <x v="2"/>
    <n v="1"/>
    <n v="0"/>
    <n v="0"/>
    <n v="1"/>
    <n v="1"/>
    <n v="223.28"/>
  </r>
  <r>
    <x v="72"/>
    <x v="0"/>
    <x v="1"/>
    <x v="3"/>
    <x v="4"/>
    <n v="1"/>
    <n v="1"/>
    <n v="0"/>
    <n v="3"/>
    <n v="4"/>
    <n v="55.38"/>
  </r>
  <r>
    <x v="73"/>
    <x v="0"/>
    <x v="0"/>
    <x v="6"/>
    <x v="1"/>
    <n v="2"/>
    <n v="0"/>
    <n v="1"/>
    <n v="2"/>
    <n v="6"/>
    <n v="224.29"/>
  </r>
  <r>
    <x v="74"/>
    <x v="1"/>
    <x v="0"/>
    <x v="5"/>
    <x v="1"/>
    <n v="1"/>
    <n v="1"/>
    <n v="0"/>
    <n v="3"/>
    <n v="3"/>
    <n v="220.97"/>
  </r>
  <r>
    <x v="75"/>
    <x v="0"/>
    <x v="0"/>
    <x v="3"/>
    <x v="1"/>
    <n v="3"/>
    <n v="0"/>
    <n v="0"/>
    <n v="3"/>
    <n v="2"/>
    <n v="142.61000000000001"/>
  </r>
  <r>
    <x v="76"/>
    <x v="0"/>
    <x v="0"/>
    <x v="6"/>
    <x v="7"/>
    <n v="2"/>
    <n v="0"/>
    <n v="0"/>
    <n v="1"/>
    <n v="7"/>
    <n v="261.52"/>
  </r>
  <r>
    <x v="77"/>
    <x v="0"/>
    <x v="1"/>
    <x v="8"/>
    <x v="2"/>
    <n v="1"/>
    <n v="1"/>
    <n v="0"/>
    <n v="3"/>
    <n v="4"/>
    <n v="245.16"/>
  </r>
  <r>
    <x v="78"/>
    <x v="0"/>
    <x v="0"/>
    <x v="2"/>
    <x v="0"/>
    <n v="3"/>
    <n v="1"/>
    <n v="0"/>
    <n v="3"/>
    <n v="2"/>
    <n v="266.60000000000002"/>
  </r>
  <r>
    <x v="79"/>
    <x v="0"/>
    <x v="0"/>
    <x v="1"/>
    <x v="0"/>
    <n v="1"/>
    <n v="0"/>
    <n v="0"/>
    <n v="0"/>
    <n v="6"/>
    <n v="162.19999999999999"/>
  </r>
  <r>
    <x v="80"/>
    <x v="0"/>
    <x v="0"/>
    <x v="6"/>
    <x v="2"/>
    <n v="2"/>
    <n v="0"/>
    <n v="0"/>
    <n v="1"/>
    <n v="2"/>
    <n v="287.62"/>
  </r>
  <r>
    <x v="81"/>
    <x v="0"/>
    <x v="0"/>
    <x v="6"/>
    <x v="2"/>
    <n v="3"/>
    <n v="0"/>
    <n v="0"/>
    <n v="3"/>
    <n v="7"/>
    <n v="258.36"/>
  </r>
  <r>
    <x v="82"/>
    <x v="0"/>
    <x v="0"/>
    <x v="4"/>
    <x v="7"/>
    <n v="3"/>
    <n v="0"/>
    <n v="0"/>
    <n v="0"/>
    <n v="2"/>
    <n v="275.44"/>
  </r>
  <r>
    <x v="83"/>
    <x v="0"/>
    <x v="0"/>
    <x v="1"/>
    <x v="2"/>
    <n v="2"/>
    <n v="0"/>
    <n v="0"/>
    <n v="2"/>
    <n v="1"/>
    <n v="291.7"/>
  </r>
  <r>
    <x v="84"/>
    <x v="1"/>
    <x v="1"/>
    <x v="8"/>
    <x v="0"/>
    <n v="1"/>
    <n v="1"/>
    <n v="0"/>
    <n v="2"/>
    <n v="1"/>
    <n v="287.07"/>
  </r>
  <r>
    <x v="85"/>
    <x v="0"/>
    <x v="0"/>
    <x v="9"/>
    <x v="6"/>
    <n v="1"/>
    <n v="0"/>
    <n v="0"/>
    <n v="1"/>
    <n v="4"/>
    <n v="198.38"/>
  </r>
  <r>
    <x v="86"/>
    <x v="0"/>
    <x v="0"/>
    <x v="0"/>
    <x v="0"/>
    <n v="2"/>
    <n v="2"/>
    <n v="0"/>
    <n v="1"/>
    <n v="4"/>
    <n v="83.2"/>
  </r>
  <r>
    <x v="87"/>
    <x v="0"/>
    <x v="0"/>
    <x v="4"/>
    <x v="4"/>
    <n v="2"/>
    <n v="2"/>
    <n v="0"/>
    <n v="2"/>
    <n v="1"/>
    <n v="213.5"/>
  </r>
  <r>
    <x v="88"/>
    <x v="0"/>
    <x v="1"/>
    <x v="1"/>
    <x v="0"/>
    <n v="3"/>
    <n v="0"/>
    <n v="0"/>
    <n v="1"/>
    <n v="4"/>
    <n v="81.89"/>
  </r>
  <r>
    <x v="89"/>
    <x v="0"/>
    <x v="0"/>
    <x v="10"/>
    <x v="0"/>
    <n v="2"/>
    <n v="2"/>
    <n v="0"/>
    <n v="2"/>
    <n v="5"/>
    <n v="258.69"/>
  </r>
  <r>
    <x v="90"/>
    <x v="0"/>
    <x v="0"/>
    <x v="10"/>
    <x v="2"/>
    <n v="2"/>
    <n v="0"/>
    <n v="0"/>
    <n v="3"/>
    <n v="6"/>
    <n v="159.16999999999999"/>
  </r>
  <r>
    <x v="91"/>
    <x v="0"/>
    <x v="0"/>
    <x v="10"/>
    <x v="1"/>
    <n v="3"/>
    <n v="1"/>
    <n v="0"/>
    <n v="1"/>
    <n v="2"/>
    <n v="288.48"/>
  </r>
  <r>
    <x v="92"/>
    <x v="0"/>
    <x v="0"/>
    <x v="10"/>
    <x v="9"/>
    <n v="3"/>
    <n v="0"/>
    <n v="0"/>
    <n v="0"/>
    <n v="6"/>
    <n v="95.13"/>
  </r>
  <r>
    <x v="93"/>
    <x v="0"/>
    <x v="0"/>
    <x v="9"/>
    <x v="2"/>
    <n v="3"/>
    <n v="0"/>
    <n v="0"/>
    <n v="1"/>
    <n v="2"/>
    <n v="160.72999999999999"/>
  </r>
  <r>
    <x v="94"/>
    <x v="0"/>
    <x v="0"/>
    <x v="8"/>
    <x v="6"/>
    <n v="3"/>
    <n v="0"/>
    <n v="0"/>
    <n v="3"/>
    <n v="4"/>
    <n v="208.6"/>
  </r>
  <r>
    <x v="95"/>
    <x v="1"/>
    <x v="0"/>
    <x v="6"/>
    <x v="0"/>
    <n v="1"/>
    <n v="0"/>
    <n v="0"/>
    <n v="3"/>
    <n v="1"/>
    <n v="82.78"/>
  </r>
  <r>
    <x v="96"/>
    <x v="0"/>
    <x v="1"/>
    <x v="0"/>
    <x v="0"/>
    <n v="3"/>
    <n v="1"/>
    <n v="0"/>
    <n v="3"/>
    <n v="5"/>
    <n v="55.29"/>
  </r>
  <r>
    <x v="97"/>
    <x v="1"/>
    <x v="1"/>
    <x v="10"/>
    <x v="2"/>
    <n v="1"/>
    <n v="0"/>
    <n v="0"/>
    <n v="3"/>
    <n v="2"/>
    <n v="122.64"/>
  </r>
  <r>
    <x v="98"/>
    <x v="1"/>
    <x v="0"/>
    <x v="9"/>
    <x v="0"/>
    <n v="2"/>
    <n v="1"/>
    <n v="0"/>
    <n v="0"/>
    <n v="6"/>
    <n v="130.88999999999999"/>
  </r>
  <r>
    <x v="99"/>
    <x v="1"/>
    <x v="0"/>
    <x v="2"/>
    <x v="3"/>
    <n v="1"/>
    <n v="0"/>
    <n v="0"/>
    <n v="3"/>
    <n v="6"/>
    <n v="106.3"/>
  </r>
  <r>
    <x v="100"/>
    <x v="0"/>
    <x v="0"/>
    <x v="3"/>
    <x v="2"/>
    <n v="1"/>
    <n v="0"/>
    <n v="0"/>
    <n v="3"/>
    <n v="2"/>
    <n v="77.14"/>
  </r>
  <r>
    <x v="101"/>
    <x v="0"/>
    <x v="1"/>
    <x v="0"/>
    <x v="8"/>
    <n v="3"/>
    <n v="0"/>
    <n v="0"/>
    <n v="0"/>
    <n v="2"/>
    <n v="290.82"/>
  </r>
  <r>
    <x v="102"/>
    <x v="1"/>
    <x v="0"/>
    <x v="0"/>
    <x v="4"/>
    <n v="2"/>
    <n v="0"/>
    <n v="0"/>
    <n v="0"/>
    <n v="7"/>
    <n v="180.68"/>
  </r>
  <r>
    <x v="103"/>
    <x v="0"/>
    <x v="1"/>
    <x v="9"/>
    <x v="2"/>
    <n v="1"/>
    <n v="0"/>
    <n v="0"/>
    <n v="2"/>
    <n v="3"/>
    <n v="78.73"/>
  </r>
  <r>
    <x v="104"/>
    <x v="0"/>
    <x v="1"/>
    <x v="4"/>
    <x v="1"/>
    <n v="2"/>
    <n v="2"/>
    <n v="0"/>
    <n v="3"/>
    <n v="4"/>
    <n v="200.93"/>
  </r>
  <r>
    <x v="105"/>
    <x v="1"/>
    <x v="0"/>
    <x v="1"/>
    <x v="2"/>
    <n v="3"/>
    <n v="1"/>
    <n v="0"/>
    <n v="1"/>
    <n v="2"/>
    <n v="162.69999999999999"/>
  </r>
  <r>
    <x v="106"/>
    <x v="0"/>
    <x v="0"/>
    <x v="6"/>
    <x v="0"/>
    <n v="1"/>
    <n v="1"/>
    <n v="0"/>
    <n v="0"/>
    <n v="2"/>
    <n v="214.57"/>
  </r>
  <r>
    <x v="107"/>
    <x v="1"/>
    <x v="0"/>
    <x v="4"/>
    <x v="1"/>
    <n v="3"/>
    <n v="0"/>
    <n v="0"/>
    <n v="1"/>
    <n v="1"/>
    <n v="291.58999999999997"/>
  </r>
  <r>
    <x v="108"/>
    <x v="0"/>
    <x v="1"/>
    <x v="8"/>
    <x v="2"/>
    <n v="2"/>
    <n v="1"/>
    <n v="0"/>
    <n v="1"/>
    <n v="6"/>
    <n v="167.3"/>
  </r>
  <r>
    <x v="109"/>
    <x v="0"/>
    <x v="0"/>
    <x v="4"/>
    <x v="0"/>
    <n v="1"/>
    <n v="0"/>
    <n v="0"/>
    <n v="1"/>
    <n v="7"/>
    <n v="116.21"/>
  </r>
  <r>
    <x v="110"/>
    <x v="1"/>
    <x v="0"/>
    <x v="1"/>
    <x v="0"/>
    <n v="2"/>
    <n v="0"/>
    <n v="0"/>
    <n v="2"/>
    <n v="3"/>
    <n v="142.1"/>
  </r>
  <r>
    <x v="111"/>
    <x v="0"/>
    <x v="0"/>
    <x v="0"/>
    <x v="5"/>
    <n v="1"/>
    <n v="0"/>
    <n v="0"/>
    <n v="0"/>
    <n v="1"/>
    <n v="139.85"/>
  </r>
  <r>
    <x v="112"/>
    <x v="0"/>
    <x v="0"/>
    <x v="2"/>
    <x v="4"/>
    <n v="1"/>
    <n v="1"/>
    <n v="0"/>
    <n v="3"/>
    <n v="5"/>
    <n v="98.33"/>
  </r>
  <r>
    <x v="113"/>
    <x v="0"/>
    <x v="1"/>
    <x v="8"/>
    <x v="6"/>
    <n v="1"/>
    <n v="1"/>
    <n v="0"/>
    <n v="0"/>
    <n v="4"/>
    <n v="65.62"/>
  </r>
  <r>
    <x v="114"/>
    <x v="0"/>
    <x v="0"/>
    <x v="4"/>
    <x v="2"/>
    <n v="2"/>
    <n v="0"/>
    <n v="1"/>
    <n v="1"/>
    <n v="3"/>
    <n v="137.97"/>
  </r>
  <r>
    <x v="115"/>
    <x v="1"/>
    <x v="0"/>
    <x v="6"/>
    <x v="2"/>
    <n v="2"/>
    <n v="0"/>
    <n v="0"/>
    <n v="0"/>
    <n v="7"/>
    <n v="314.85000000000002"/>
  </r>
  <r>
    <x v="116"/>
    <x v="1"/>
    <x v="0"/>
    <x v="8"/>
    <x v="2"/>
    <n v="1"/>
    <n v="0"/>
    <n v="0"/>
    <n v="0"/>
    <n v="4"/>
    <n v="292.18"/>
  </r>
  <r>
    <x v="117"/>
    <x v="0"/>
    <x v="0"/>
    <x v="6"/>
    <x v="3"/>
    <n v="3"/>
    <n v="1"/>
    <n v="0"/>
    <n v="2"/>
    <n v="5"/>
    <n v="246.97"/>
  </r>
  <r>
    <x v="118"/>
    <x v="0"/>
    <x v="0"/>
    <x v="2"/>
    <x v="7"/>
    <n v="1"/>
    <n v="0"/>
    <n v="0"/>
    <n v="0"/>
    <n v="6"/>
    <n v="180.98"/>
  </r>
  <r>
    <x v="119"/>
    <x v="0"/>
    <x v="1"/>
    <x v="7"/>
    <x v="1"/>
    <n v="3"/>
    <n v="0"/>
    <n v="0"/>
    <n v="0"/>
    <n v="7"/>
    <n v="105.97"/>
  </r>
  <r>
    <x v="120"/>
    <x v="1"/>
    <x v="0"/>
    <x v="0"/>
    <x v="3"/>
    <n v="2"/>
    <n v="0"/>
    <n v="0"/>
    <n v="1"/>
    <n v="7"/>
    <n v="223.66"/>
  </r>
  <r>
    <x v="121"/>
    <x v="0"/>
    <x v="0"/>
    <x v="6"/>
    <x v="8"/>
    <n v="1"/>
    <n v="0"/>
    <n v="0"/>
    <n v="0"/>
    <n v="2"/>
    <n v="91.28"/>
  </r>
  <r>
    <x v="122"/>
    <x v="0"/>
    <x v="0"/>
    <x v="9"/>
    <x v="4"/>
    <n v="3"/>
    <n v="2"/>
    <n v="0"/>
    <n v="0"/>
    <n v="5"/>
    <n v="236.74"/>
  </r>
  <r>
    <x v="123"/>
    <x v="0"/>
    <x v="0"/>
    <x v="3"/>
    <x v="2"/>
    <n v="3"/>
    <n v="0"/>
    <n v="0"/>
    <n v="2"/>
    <n v="4"/>
    <n v="197.48"/>
  </r>
  <r>
    <x v="124"/>
    <x v="1"/>
    <x v="1"/>
    <x v="0"/>
    <x v="2"/>
    <n v="3"/>
    <n v="0"/>
    <n v="0"/>
    <n v="2"/>
    <n v="3"/>
    <n v="143.91"/>
  </r>
  <r>
    <x v="125"/>
    <x v="0"/>
    <x v="0"/>
    <x v="0"/>
    <x v="2"/>
    <n v="1"/>
    <n v="0"/>
    <n v="0"/>
    <n v="2"/>
    <n v="2"/>
    <n v="144.41999999999999"/>
  </r>
  <r>
    <x v="126"/>
    <x v="0"/>
    <x v="0"/>
    <x v="2"/>
    <x v="7"/>
    <n v="3"/>
    <n v="0"/>
    <n v="0"/>
    <n v="0"/>
    <n v="7"/>
    <n v="214.4"/>
  </r>
  <r>
    <x v="127"/>
    <x v="0"/>
    <x v="0"/>
    <x v="8"/>
    <x v="2"/>
    <n v="3"/>
    <n v="0"/>
    <n v="0"/>
    <n v="2"/>
    <n v="2"/>
    <n v="237.32"/>
  </r>
  <r>
    <x v="128"/>
    <x v="1"/>
    <x v="0"/>
    <x v="3"/>
    <x v="0"/>
    <n v="3"/>
    <n v="0"/>
    <n v="0"/>
    <n v="3"/>
    <n v="1"/>
    <n v="203.48"/>
  </r>
  <r>
    <x v="129"/>
    <x v="0"/>
    <x v="0"/>
    <x v="6"/>
    <x v="6"/>
    <n v="3"/>
    <n v="0"/>
    <n v="0"/>
    <n v="1"/>
    <n v="4"/>
    <n v="211.25"/>
  </r>
  <r>
    <x v="130"/>
    <x v="0"/>
    <x v="0"/>
    <x v="4"/>
    <x v="0"/>
    <n v="3"/>
    <n v="2"/>
    <n v="0"/>
    <n v="0"/>
    <n v="3"/>
    <n v="264.54000000000002"/>
  </r>
  <r>
    <x v="131"/>
    <x v="0"/>
    <x v="1"/>
    <x v="0"/>
    <x v="7"/>
    <n v="2"/>
    <n v="2"/>
    <n v="0"/>
    <n v="0"/>
    <n v="4"/>
    <n v="236.38"/>
  </r>
  <r>
    <x v="132"/>
    <x v="0"/>
    <x v="0"/>
    <x v="8"/>
    <x v="9"/>
    <n v="1"/>
    <n v="0"/>
    <n v="0"/>
    <n v="0"/>
    <n v="5"/>
    <n v="106.24"/>
  </r>
  <r>
    <x v="133"/>
    <x v="0"/>
    <x v="0"/>
    <x v="2"/>
    <x v="4"/>
    <n v="1"/>
    <n v="0"/>
    <n v="0"/>
    <n v="1"/>
    <n v="7"/>
    <n v="146.19999999999999"/>
  </r>
  <r>
    <x v="134"/>
    <x v="0"/>
    <x v="0"/>
    <x v="4"/>
    <x v="7"/>
    <n v="1"/>
    <n v="0"/>
    <n v="0"/>
    <n v="1"/>
    <n v="6"/>
    <n v="211.17"/>
  </r>
  <r>
    <x v="135"/>
    <x v="0"/>
    <x v="1"/>
    <x v="3"/>
    <x v="1"/>
    <n v="3"/>
    <n v="0"/>
    <n v="0"/>
    <n v="3"/>
    <n v="4"/>
    <n v="254.15"/>
  </r>
  <r>
    <x v="136"/>
    <x v="0"/>
    <x v="1"/>
    <x v="8"/>
    <x v="2"/>
    <n v="1"/>
    <n v="0"/>
    <n v="0"/>
    <n v="2"/>
    <n v="5"/>
    <n v="60.7"/>
  </r>
  <r>
    <x v="137"/>
    <x v="1"/>
    <x v="1"/>
    <x v="2"/>
    <x v="0"/>
    <n v="3"/>
    <n v="0"/>
    <n v="0"/>
    <n v="3"/>
    <n v="7"/>
    <n v="246.7"/>
  </r>
  <r>
    <x v="138"/>
    <x v="0"/>
    <x v="1"/>
    <x v="3"/>
    <x v="5"/>
    <n v="1"/>
    <n v="0"/>
    <n v="0"/>
    <n v="2"/>
    <n v="1"/>
    <n v="264.66000000000003"/>
  </r>
  <r>
    <x v="139"/>
    <x v="1"/>
    <x v="0"/>
    <x v="4"/>
    <x v="2"/>
    <n v="2"/>
    <n v="2"/>
    <n v="0"/>
    <n v="3"/>
    <n v="3"/>
    <n v="214.58"/>
  </r>
  <r>
    <x v="140"/>
    <x v="0"/>
    <x v="1"/>
    <x v="4"/>
    <x v="0"/>
    <n v="3"/>
    <n v="1"/>
    <n v="0"/>
    <n v="2"/>
    <n v="6"/>
    <n v="239.25"/>
  </r>
  <r>
    <x v="141"/>
    <x v="0"/>
    <x v="0"/>
    <x v="0"/>
    <x v="2"/>
    <n v="1"/>
    <n v="0"/>
    <n v="0"/>
    <n v="0"/>
    <n v="1"/>
    <n v="216.85"/>
  </r>
  <r>
    <x v="142"/>
    <x v="1"/>
    <x v="0"/>
    <x v="8"/>
    <x v="2"/>
    <n v="1"/>
    <n v="0"/>
    <n v="0"/>
    <n v="2"/>
    <n v="7"/>
    <n v="211.94"/>
  </r>
  <r>
    <x v="143"/>
    <x v="0"/>
    <x v="0"/>
    <x v="0"/>
    <x v="7"/>
    <n v="2"/>
    <n v="0"/>
    <n v="0"/>
    <n v="0"/>
    <n v="3"/>
    <n v="180.95"/>
  </r>
  <r>
    <x v="144"/>
    <x v="0"/>
    <x v="1"/>
    <x v="0"/>
    <x v="9"/>
    <n v="1"/>
    <n v="2"/>
    <n v="0"/>
    <n v="1"/>
    <n v="2"/>
    <n v="246.82"/>
  </r>
  <r>
    <x v="145"/>
    <x v="1"/>
    <x v="1"/>
    <x v="4"/>
    <x v="2"/>
    <n v="3"/>
    <n v="2"/>
    <n v="0"/>
    <n v="2"/>
    <n v="4"/>
    <n v="130.55000000000001"/>
  </r>
  <r>
    <x v="146"/>
    <x v="0"/>
    <x v="0"/>
    <x v="4"/>
    <x v="7"/>
    <n v="2"/>
    <n v="0"/>
    <n v="0"/>
    <n v="2"/>
    <n v="3"/>
    <n v="234.54"/>
  </r>
  <r>
    <x v="147"/>
    <x v="1"/>
    <x v="0"/>
    <x v="7"/>
    <x v="7"/>
    <n v="2"/>
    <n v="0"/>
    <n v="0"/>
    <n v="2"/>
    <n v="2"/>
    <n v="114.01"/>
  </r>
  <r>
    <x v="148"/>
    <x v="0"/>
    <x v="0"/>
    <x v="8"/>
    <x v="1"/>
    <n v="2"/>
    <n v="0"/>
    <n v="0"/>
    <n v="2"/>
    <n v="6"/>
    <n v="286"/>
  </r>
  <r>
    <x v="149"/>
    <x v="0"/>
    <x v="0"/>
    <x v="6"/>
    <x v="4"/>
    <n v="3"/>
    <n v="0"/>
    <n v="0"/>
    <n v="0"/>
    <n v="5"/>
    <n v="79"/>
  </r>
  <r>
    <x v="150"/>
    <x v="0"/>
    <x v="0"/>
    <x v="3"/>
    <x v="7"/>
    <n v="1"/>
    <n v="0"/>
    <n v="0"/>
    <n v="0"/>
    <n v="7"/>
    <n v="293.24"/>
  </r>
  <r>
    <x v="151"/>
    <x v="0"/>
    <x v="0"/>
    <x v="10"/>
    <x v="6"/>
    <n v="2"/>
    <n v="1"/>
    <n v="0"/>
    <n v="0"/>
    <n v="4"/>
    <n v="217.29"/>
  </r>
  <r>
    <x v="152"/>
    <x v="0"/>
    <x v="0"/>
    <x v="0"/>
    <x v="2"/>
    <n v="2"/>
    <n v="0"/>
    <n v="0"/>
    <n v="2"/>
    <n v="1"/>
    <n v="56.06"/>
  </r>
  <r>
    <x v="153"/>
    <x v="0"/>
    <x v="0"/>
    <x v="9"/>
    <x v="6"/>
    <n v="2"/>
    <n v="2"/>
    <n v="0"/>
    <n v="1"/>
    <n v="6"/>
    <n v="151.83000000000001"/>
  </r>
  <r>
    <x v="154"/>
    <x v="1"/>
    <x v="0"/>
    <x v="4"/>
    <x v="2"/>
    <n v="3"/>
    <n v="2"/>
    <n v="0"/>
    <n v="1"/>
    <n v="5"/>
    <n v="209.26"/>
  </r>
  <r>
    <x v="155"/>
    <x v="1"/>
    <x v="0"/>
    <x v="3"/>
    <x v="1"/>
    <n v="3"/>
    <n v="1"/>
    <n v="0"/>
    <n v="2"/>
    <n v="4"/>
    <n v="178.51"/>
  </r>
  <r>
    <x v="156"/>
    <x v="0"/>
    <x v="0"/>
    <x v="7"/>
    <x v="2"/>
    <n v="2"/>
    <n v="0"/>
    <n v="0"/>
    <n v="1"/>
    <n v="4"/>
    <n v="93.52"/>
  </r>
  <r>
    <x v="157"/>
    <x v="0"/>
    <x v="0"/>
    <x v="4"/>
    <x v="2"/>
    <n v="1"/>
    <n v="2"/>
    <n v="0"/>
    <n v="0"/>
    <n v="5"/>
    <n v="88.74"/>
  </r>
  <r>
    <x v="158"/>
    <x v="1"/>
    <x v="0"/>
    <x v="5"/>
    <x v="2"/>
    <n v="1"/>
    <n v="0"/>
    <n v="0"/>
    <n v="3"/>
    <n v="4"/>
    <n v="318.42"/>
  </r>
  <r>
    <x v="159"/>
    <x v="0"/>
    <x v="0"/>
    <x v="11"/>
    <x v="4"/>
    <n v="1"/>
    <n v="0"/>
    <n v="0"/>
    <n v="3"/>
    <n v="3"/>
    <n v="268.23"/>
  </r>
  <r>
    <x v="160"/>
    <x v="0"/>
    <x v="0"/>
    <x v="0"/>
    <x v="1"/>
    <n v="1"/>
    <n v="0"/>
    <n v="0"/>
    <n v="3"/>
    <n v="6"/>
    <n v="61.82"/>
  </r>
  <r>
    <x v="161"/>
    <x v="0"/>
    <x v="0"/>
    <x v="10"/>
    <x v="2"/>
    <n v="3"/>
    <n v="0"/>
    <n v="0"/>
    <n v="2"/>
    <n v="6"/>
    <n v="50.57"/>
  </r>
  <r>
    <x v="162"/>
    <x v="0"/>
    <x v="1"/>
    <x v="4"/>
    <x v="2"/>
    <n v="1"/>
    <n v="0"/>
    <n v="0"/>
    <n v="2"/>
    <n v="4"/>
    <n v="186.8"/>
  </r>
  <r>
    <x v="163"/>
    <x v="1"/>
    <x v="0"/>
    <x v="0"/>
    <x v="1"/>
    <n v="1"/>
    <n v="0"/>
    <n v="0"/>
    <n v="1"/>
    <n v="1"/>
    <n v="290.81"/>
  </r>
  <r>
    <x v="164"/>
    <x v="0"/>
    <x v="0"/>
    <x v="2"/>
    <x v="2"/>
    <n v="2"/>
    <n v="0"/>
    <n v="0"/>
    <n v="2"/>
    <n v="7"/>
    <n v="163.25"/>
  </r>
  <r>
    <x v="165"/>
    <x v="0"/>
    <x v="0"/>
    <x v="0"/>
    <x v="8"/>
    <n v="1"/>
    <n v="0"/>
    <n v="0"/>
    <n v="0"/>
    <n v="7"/>
    <n v="245.15"/>
  </r>
  <r>
    <x v="166"/>
    <x v="0"/>
    <x v="0"/>
    <x v="4"/>
    <x v="0"/>
    <n v="1"/>
    <n v="0"/>
    <n v="0"/>
    <n v="3"/>
    <n v="6"/>
    <n v="128.57"/>
  </r>
  <r>
    <x v="167"/>
    <x v="1"/>
    <x v="0"/>
    <x v="10"/>
    <x v="4"/>
    <n v="2"/>
    <n v="0"/>
    <n v="0"/>
    <n v="0"/>
    <n v="3"/>
    <n v="273.07"/>
  </r>
  <r>
    <x v="168"/>
    <x v="0"/>
    <x v="0"/>
    <x v="6"/>
    <x v="0"/>
    <n v="3"/>
    <n v="1"/>
    <n v="0"/>
    <n v="2"/>
    <n v="6"/>
    <n v="248.22"/>
  </r>
  <r>
    <x v="169"/>
    <x v="0"/>
    <x v="1"/>
    <x v="5"/>
    <x v="2"/>
    <n v="3"/>
    <n v="0"/>
    <n v="0"/>
    <n v="0"/>
    <n v="7"/>
    <n v="230.36"/>
  </r>
  <r>
    <x v="170"/>
    <x v="1"/>
    <x v="0"/>
    <x v="5"/>
    <x v="2"/>
    <n v="1"/>
    <n v="1"/>
    <n v="0"/>
    <n v="1"/>
    <n v="2"/>
    <n v="219.09"/>
  </r>
  <r>
    <x v="171"/>
    <x v="0"/>
    <x v="1"/>
    <x v="2"/>
    <x v="0"/>
    <n v="1"/>
    <n v="0"/>
    <n v="0"/>
    <n v="3"/>
    <n v="1"/>
    <n v="63.95"/>
  </r>
  <r>
    <x v="172"/>
    <x v="1"/>
    <x v="1"/>
    <x v="8"/>
    <x v="2"/>
    <n v="2"/>
    <n v="2"/>
    <n v="0"/>
    <n v="2"/>
    <n v="6"/>
    <n v="192.92"/>
  </r>
  <r>
    <x v="173"/>
    <x v="1"/>
    <x v="0"/>
    <x v="7"/>
    <x v="2"/>
    <n v="2"/>
    <n v="0"/>
    <n v="1"/>
    <n v="3"/>
    <n v="4"/>
    <n v="151.32"/>
  </r>
  <r>
    <x v="174"/>
    <x v="0"/>
    <x v="0"/>
    <x v="0"/>
    <x v="1"/>
    <n v="3"/>
    <n v="0"/>
    <n v="0"/>
    <n v="1"/>
    <n v="3"/>
    <n v="116.03"/>
  </r>
  <r>
    <x v="175"/>
    <x v="0"/>
    <x v="0"/>
    <x v="4"/>
    <x v="2"/>
    <n v="2"/>
    <n v="0"/>
    <n v="0"/>
    <n v="2"/>
    <n v="5"/>
    <n v="109.7"/>
  </r>
  <r>
    <x v="176"/>
    <x v="1"/>
    <x v="0"/>
    <x v="8"/>
    <x v="0"/>
    <n v="2"/>
    <n v="0"/>
    <n v="0"/>
    <n v="1"/>
    <n v="1"/>
    <n v="122.91"/>
  </r>
  <r>
    <x v="177"/>
    <x v="0"/>
    <x v="0"/>
    <x v="4"/>
    <x v="2"/>
    <n v="2"/>
    <n v="0"/>
    <n v="0"/>
    <n v="2"/>
    <n v="7"/>
    <n v="286.2"/>
  </r>
  <r>
    <x v="178"/>
    <x v="0"/>
    <x v="0"/>
    <x v="2"/>
    <x v="2"/>
    <n v="1"/>
    <n v="0"/>
    <n v="0"/>
    <n v="2"/>
    <n v="4"/>
    <n v="218.34"/>
  </r>
  <r>
    <x v="179"/>
    <x v="1"/>
    <x v="0"/>
    <x v="2"/>
    <x v="9"/>
    <n v="1"/>
    <n v="0"/>
    <n v="0"/>
    <n v="1"/>
    <n v="4"/>
    <n v="313.55"/>
  </r>
  <r>
    <x v="180"/>
    <x v="0"/>
    <x v="1"/>
    <x v="8"/>
    <x v="2"/>
    <n v="3"/>
    <n v="0"/>
    <n v="0"/>
    <n v="0"/>
    <n v="2"/>
    <n v="89.61"/>
  </r>
  <r>
    <x v="181"/>
    <x v="0"/>
    <x v="1"/>
    <x v="0"/>
    <x v="2"/>
    <n v="2"/>
    <n v="2"/>
    <n v="0"/>
    <n v="0"/>
    <n v="7"/>
    <n v="294.55"/>
  </r>
  <r>
    <x v="182"/>
    <x v="1"/>
    <x v="0"/>
    <x v="7"/>
    <x v="9"/>
    <n v="1"/>
    <n v="0"/>
    <n v="0"/>
    <n v="3"/>
    <n v="5"/>
    <n v="294.94"/>
  </r>
  <r>
    <x v="183"/>
    <x v="0"/>
    <x v="0"/>
    <x v="10"/>
    <x v="2"/>
    <n v="1"/>
    <n v="0"/>
    <n v="0"/>
    <n v="3"/>
    <n v="1"/>
    <n v="76.33"/>
  </r>
  <r>
    <x v="184"/>
    <x v="1"/>
    <x v="0"/>
    <x v="3"/>
    <x v="7"/>
    <n v="1"/>
    <n v="0"/>
    <n v="0"/>
    <n v="1"/>
    <n v="5"/>
    <n v="175.45"/>
  </r>
  <r>
    <x v="185"/>
    <x v="0"/>
    <x v="0"/>
    <x v="0"/>
    <x v="2"/>
    <n v="2"/>
    <n v="1"/>
    <n v="0"/>
    <n v="1"/>
    <n v="7"/>
    <n v="69.86"/>
  </r>
  <r>
    <x v="186"/>
    <x v="1"/>
    <x v="0"/>
    <x v="5"/>
    <x v="2"/>
    <n v="1"/>
    <n v="0"/>
    <n v="0"/>
    <n v="2"/>
    <n v="2"/>
    <n v="178.12"/>
  </r>
  <r>
    <x v="187"/>
    <x v="1"/>
    <x v="0"/>
    <x v="0"/>
    <x v="8"/>
    <n v="1"/>
    <n v="0"/>
    <n v="0"/>
    <n v="2"/>
    <n v="1"/>
    <n v="127.78"/>
  </r>
  <r>
    <x v="188"/>
    <x v="0"/>
    <x v="0"/>
    <x v="1"/>
    <x v="2"/>
    <n v="2"/>
    <n v="0"/>
    <n v="0"/>
    <n v="2"/>
    <n v="2"/>
    <n v="216.25"/>
  </r>
  <r>
    <x v="189"/>
    <x v="1"/>
    <x v="1"/>
    <x v="3"/>
    <x v="0"/>
    <n v="2"/>
    <n v="0"/>
    <n v="0"/>
    <n v="3"/>
    <n v="7"/>
    <n v="231.17"/>
  </r>
  <r>
    <x v="190"/>
    <x v="0"/>
    <x v="0"/>
    <x v="0"/>
    <x v="0"/>
    <n v="2"/>
    <n v="0"/>
    <n v="0"/>
    <n v="1"/>
    <n v="3"/>
    <n v="222.89"/>
  </r>
  <r>
    <x v="191"/>
    <x v="0"/>
    <x v="1"/>
    <x v="7"/>
    <x v="1"/>
    <n v="3"/>
    <n v="0"/>
    <n v="1"/>
    <n v="3"/>
    <n v="6"/>
    <n v="297.92"/>
  </r>
  <r>
    <x v="192"/>
    <x v="0"/>
    <x v="1"/>
    <x v="8"/>
    <x v="2"/>
    <n v="1"/>
    <n v="1"/>
    <n v="0"/>
    <n v="1"/>
    <n v="7"/>
    <n v="214.4"/>
  </r>
  <r>
    <x v="193"/>
    <x v="1"/>
    <x v="1"/>
    <x v="2"/>
    <x v="9"/>
    <n v="2"/>
    <n v="0"/>
    <n v="0"/>
    <n v="1"/>
    <n v="3"/>
    <n v="304.64999999999998"/>
  </r>
  <r>
    <x v="194"/>
    <x v="0"/>
    <x v="0"/>
    <x v="8"/>
    <x v="2"/>
    <n v="2"/>
    <n v="0"/>
    <n v="0"/>
    <n v="1"/>
    <n v="3"/>
    <n v="102.75"/>
  </r>
  <r>
    <x v="195"/>
    <x v="0"/>
    <x v="0"/>
    <x v="6"/>
    <x v="8"/>
    <n v="3"/>
    <n v="0"/>
    <n v="0"/>
    <n v="2"/>
    <n v="6"/>
    <n v="116.23"/>
  </r>
  <r>
    <x v="196"/>
    <x v="0"/>
    <x v="0"/>
    <x v="6"/>
    <x v="0"/>
    <n v="2"/>
    <n v="0"/>
    <n v="0"/>
    <n v="1"/>
    <n v="6"/>
    <n v="93.13"/>
  </r>
  <r>
    <x v="197"/>
    <x v="0"/>
    <x v="0"/>
    <x v="3"/>
    <x v="2"/>
    <n v="2"/>
    <n v="1"/>
    <n v="0"/>
    <n v="3"/>
    <n v="6"/>
    <n v="235.03"/>
  </r>
  <r>
    <x v="198"/>
    <x v="0"/>
    <x v="0"/>
    <x v="4"/>
    <x v="2"/>
    <n v="2"/>
    <n v="1"/>
    <n v="0"/>
    <n v="3"/>
    <n v="6"/>
    <n v="157.69"/>
  </r>
  <r>
    <x v="199"/>
    <x v="1"/>
    <x v="0"/>
    <x v="5"/>
    <x v="5"/>
    <n v="3"/>
    <n v="0"/>
    <n v="0"/>
    <n v="3"/>
    <n v="3"/>
    <n v="74.93000000000000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0"/>
    <s v="July"/>
    <s v="USA"/>
    <n v="1"/>
    <n v="0"/>
    <n v="0"/>
    <n v="0"/>
    <n v="4"/>
    <n v="248.71"/>
    <x v="0"/>
    <m/>
  </r>
  <r>
    <x v="1"/>
    <x v="0"/>
    <n v="0"/>
    <s v="March"/>
    <s v="UK"/>
    <n v="1"/>
    <n v="0"/>
    <n v="0"/>
    <n v="1"/>
    <n v="7"/>
    <n v="108.6"/>
    <x v="0"/>
    <m/>
  </r>
  <r>
    <x v="2"/>
    <x v="0"/>
    <n v="1"/>
    <s v="May"/>
    <s v="India"/>
    <n v="2"/>
    <n v="2"/>
    <n v="0"/>
    <n v="0"/>
    <n v="2"/>
    <n v="193.87"/>
    <x v="1"/>
    <m/>
  </r>
  <r>
    <x v="3"/>
    <x v="0"/>
    <n v="0"/>
    <s v="October"/>
    <s v="India"/>
    <n v="2"/>
    <n v="2"/>
    <n v="0"/>
    <n v="3"/>
    <n v="3"/>
    <n v="288.07"/>
    <x v="0"/>
    <m/>
  </r>
  <r>
    <x v="4"/>
    <x v="0"/>
    <n v="0"/>
    <s v="August"/>
    <s v="France"/>
    <n v="1"/>
    <n v="0"/>
    <n v="0"/>
    <n v="2"/>
    <n v="2"/>
    <n v="269.88"/>
    <x v="0"/>
    <m/>
  </r>
  <r>
    <x v="5"/>
    <x v="0"/>
    <n v="0"/>
    <s v="July"/>
    <s v="Brazil"/>
    <n v="2"/>
    <n v="1"/>
    <n v="0"/>
    <n v="3"/>
    <n v="4"/>
    <n v="101.14"/>
    <x v="0"/>
    <m/>
  </r>
  <r>
    <x v="6"/>
    <x v="0"/>
    <n v="0"/>
    <s v="July"/>
    <s v="UK"/>
    <n v="2"/>
    <n v="1"/>
    <n v="0"/>
    <n v="3"/>
    <n v="7"/>
    <n v="142.41"/>
    <x v="0"/>
    <m/>
  </r>
  <r>
    <x v="7"/>
    <x v="0"/>
    <n v="0"/>
    <s v="January"/>
    <s v="UK"/>
    <n v="1"/>
    <n v="0"/>
    <n v="0"/>
    <n v="0"/>
    <n v="2"/>
    <n v="297.68"/>
    <x v="0"/>
    <m/>
  </r>
  <r>
    <x v="8"/>
    <x v="1"/>
    <n v="0"/>
    <s v="October"/>
    <s v="USA"/>
    <n v="3"/>
    <n v="2"/>
    <n v="0"/>
    <n v="2"/>
    <n v="3"/>
    <n v="317.7"/>
    <x v="0"/>
    <m/>
  </r>
  <r>
    <x v="9"/>
    <x v="1"/>
    <n v="0"/>
    <s v="August"/>
    <s v="UK"/>
    <n v="3"/>
    <n v="0"/>
    <n v="0"/>
    <n v="0"/>
    <n v="3"/>
    <n v="167.45"/>
    <x v="0"/>
    <m/>
  </r>
  <r>
    <x v="10"/>
    <x v="1"/>
    <n v="1"/>
    <s v="October"/>
    <s v="India"/>
    <n v="3"/>
    <n v="0"/>
    <n v="0"/>
    <n v="1"/>
    <n v="7"/>
    <n v="317.94"/>
    <x v="1"/>
    <m/>
  </r>
  <r>
    <x v="11"/>
    <x v="1"/>
    <n v="0"/>
    <s v="July"/>
    <s v="India"/>
    <n v="3"/>
    <n v="0"/>
    <n v="0"/>
    <n v="2"/>
    <n v="3"/>
    <n v="70.14"/>
    <x v="0"/>
    <m/>
  </r>
  <r>
    <x v="12"/>
    <x v="0"/>
    <n v="0"/>
    <s v="July"/>
    <s v="South Africa"/>
    <n v="2"/>
    <n v="0"/>
    <n v="0"/>
    <n v="3"/>
    <n v="3"/>
    <n v="94.78"/>
    <x v="0"/>
    <m/>
  </r>
  <r>
    <x v="13"/>
    <x v="0"/>
    <n v="0"/>
    <s v="July"/>
    <s v="Canada"/>
    <n v="3"/>
    <n v="0"/>
    <n v="0"/>
    <n v="2"/>
    <n v="4"/>
    <n v="116.69"/>
    <x v="0"/>
    <m/>
  </r>
  <r>
    <x v="14"/>
    <x v="1"/>
    <n v="0"/>
    <s v="October"/>
    <s v="India"/>
    <n v="3"/>
    <n v="0"/>
    <n v="0"/>
    <n v="0"/>
    <n v="3"/>
    <n v="240.04"/>
    <x v="0"/>
    <m/>
  </r>
  <r>
    <x v="15"/>
    <x v="0"/>
    <n v="0"/>
    <s v="June"/>
    <s v="India"/>
    <n v="2"/>
    <n v="0"/>
    <n v="0"/>
    <n v="0"/>
    <n v="1"/>
    <n v="121.14"/>
    <x v="0"/>
    <m/>
  </r>
  <r>
    <x v="16"/>
    <x v="0"/>
    <n v="0"/>
    <s v="January"/>
    <s v="UK"/>
    <n v="3"/>
    <n v="0"/>
    <n v="0"/>
    <n v="1"/>
    <n v="6"/>
    <n v="221.04"/>
    <x v="0"/>
    <m/>
  </r>
  <r>
    <x v="17"/>
    <x v="0"/>
    <n v="0"/>
    <s v="August"/>
    <s v="India"/>
    <n v="2"/>
    <n v="1"/>
    <n v="0"/>
    <n v="2"/>
    <n v="3"/>
    <n v="249.92"/>
    <x v="0"/>
    <m/>
  </r>
  <r>
    <x v="18"/>
    <x v="0"/>
    <n v="0"/>
    <s v="November"/>
    <s v="UK"/>
    <n v="3"/>
    <n v="0"/>
    <n v="1"/>
    <n v="2"/>
    <n v="5"/>
    <n v="182.36"/>
    <x v="0"/>
    <m/>
  </r>
  <r>
    <x v="19"/>
    <x v="0"/>
    <n v="1"/>
    <s v="September"/>
    <s v="UK"/>
    <n v="2"/>
    <n v="1"/>
    <n v="0"/>
    <n v="0"/>
    <n v="2"/>
    <n v="144.84"/>
    <x v="1"/>
    <m/>
  </r>
  <r>
    <x v="20"/>
    <x v="0"/>
    <n v="0"/>
    <s v="November"/>
    <s v="USA"/>
    <n v="1"/>
    <n v="0"/>
    <n v="0"/>
    <n v="3"/>
    <n v="2"/>
    <n v="112.08"/>
    <x v="0"/>
    <m/>
  </r>
  <r>
    <x v="21"/>
    <x v="1"/>
    <n v="0"/>
    <s v="July"/>
    <s v="India"/>
    <n v="1"/>
    <n v="0"/>
    <n v="0"/>
    <n v="0"/>
    <n v="7"/>
    <n v="312.24"/>
    <x v="0"/>
    <m/>
  </r>
  <r>
    <x v="22"/>
    <x v="1"/>
    <n v="1"/>
    <s v="July"/>
    <s v="UAE"/>
    <n v="3"/>
    <n v="0"/>
    <n v="0"/>
    <n v="2"/>
    <n v="3"/>
    <n v="277.39"/>
    <x v="1"/>
    <m/>
  </r>
  <r>
    <x v="23"/>
    <x v="1"/>
    <n v="1"/>
    <s v="August"/>
    <s v="India"/>
    <n v="3"/>
    <n v="0"/>
    <n v="0"/>
    <n v="2"/>
    <n v="2"/>
    <n v="173.8"/>
    <x v="1"/>
    <m/>
  </r>
  <r>
    <x v="24"/>
    <x v="0"/>
    <n v="0"/>
    <s v="February"/>
    <s v="Brazil"/>
    <n v="1"/>
    <n v="0"/>
    <n v="0"/>
    <n v="2"/>
    <n v="6"/>
    <n v="268.92"/>
    <x v="0"/>
    <m/>
  </r>
  <r>
    <x v="25"/>
    <x v="1"/>
    <n v="0"/>
    <s v="July"/>
    <s v="Canada"/>
    <n v="2"/>
    <n v="2"/>
    <n v="0"/>
    <n v="0"/>
    <n v="6"/>
    <n v="261.35000000000002"/>
    <x v="0"/>
    <m/>
  </r>
  <r>
    <x v="26"/>
    <x v="1"/>
    <n v="0"/>
    <s v="June"/>
    <s v="Australia"/>
    <n v="3"/>
    <n v="0"/>
    <n v="0"/>
    <n v="3"/>
    <n v="1"/>
    <n v="269"/>
    <x v="0"/>
    <m/>
  </r>
  <r>
    <x v="27"/>
    <x v="0"/>
    <n v="0"/>
    <s v="November"/>
    <s v="France"/>
    <n v="2"/>
    <n v="0"/>
    <n v="0"/>
    <n v="0"/>
    <n v="5"/>
    <n v="106.18"/>
    <x v="0"/>
    <m/>
  </r>
  <r>
    <x v="28"/>
    <x v="0"/>
    <n v="0"/>
    <s v="July"/>
    <s v="India"/>
    <n v="3"/>
    <n v="1"/>
    <n v="0"/>
    <n v="3"/>
    <n v="5"/>
    <n v="122.13"/>
    <x v="0"/>
    <m/>
  </r>
  <r>
    <x v="29"/>
    <x v="0"/>
    <n v="0"/>
    <s v="October"/>
    <s v="USA"/>
    <n v="3"/>
    <n v="0"/>
    <n v="0"/>
    <n v="1"/>
    <n v="1"/>
    <n v="275.14"/>
    <x v="0"/>
    <m/>
  </r>
  <r>
    <x v="30"/>
    <x v="1"/>
    <n v="0"/>
    <s v="February"/>
    <s v="Canada"/>
    <n v="3"/>
    <n v="2"/>
    <n v="1"/>
    <n v="1"/>
    <n v="1"/>
    <n v="90.17"/>
    <x v="0"/>
    <m/>
  </r>
  <r>
    <x v="31"/>
    <x v="0"/>
    <n v="1"/>
    <s v="November"/>
    <s v="France"/>
    <n v="1"/>
    <n v="0"/>
    <n v="0"/>
    <n v="3"/>
    <n v="3"/>
    <n v="78.66"/>
    <x v="1"/>
    <m/>
  </r>
  <r>
    <x v="32"/>
    <x v="1"/>
    <n v="0"/>
    <s v="June"/>
    <s v="India"/>
    <n v="2"/>
    <n v="2"/>
    <n v="0"/>
    <n v="3"/>
    <n v="5"/>
    <n v="75.38"/>
    <x v="0"/>
    <m/>
  </r>
  <r>
    <x v="33"/>
    <x v="0"/>
    <n v="0"/>
    <s v="October"/>
    <s v="India"/>
    <n v="1"/>
    <n v="0"/>
    <n v="0"/>
    <n v="1"/>
    <n v="1"/>
    <n v="280.79000000000002"/>
    <x v="0"/>
    <m/>
  </r>
  <r>
    <x v="34"/>
    <x v="0"/>
    <n v="1"/>
    <s v="May"/>
    <s v="France"/>
    <n v="3"/>
    <n v="0"/>
    <n v="0"/>
    <n v="1"/>
    <n v="2"/>
    <n v="110.33"/>
    <x v="1"/>
    <m/>
  </r>
  <r>
    <x v="35"/>
    <x v="0"/>
    <n v="0"/>
    <s v="January"/>
    <s v="UAE"/>
    <n v="2"/>
    <n v="0"/>
    <n v="0"/>
    <n v="1"/>
    <n v="7"/>
    <n v="194.14"/>
    <x v="0"/>
    <m/>
  </r>
  <r>
    <x v="36"/>
    <x v="0"/>
    <n v="1"/>
    <s v="March"/>
    <s v="India"/>
    <n v="1"/>
    <n v="0"/>
    <n v="0"/>
    <n v="3"/>
    <n v="7"/>
    <n v="278.04000000000002"/>
    <x v="1"/>
    <m/>
  </r>
  <r>
    <x v="37"/>
    <x v="0"/>
    <n v="0"/>
    <s v="June"/>
    <s v="USA"/>
    <n v="1"/>
    <n v="0"/>
    <n v="0"/>
    <n v="0"/>
    <n v="6"/>
    <n v="288.19"/>
    <x v="0"/>
    <m/>
  </r>
  <r>
    <x v="38"/>
    <x v="0"/>
    <n v="0"/>
    <s v="August"/>
    <s v="India"/>
    <n v="3"/>
    <n v="0"/>
    <n v="1"/>
    <n v="0"/>
    <n v="4"/>
    <n v="228.48"/>
    <x v="0"/>
    <m/>
  </r>
  <r>
    <x v="39"/>
    <x v="0"/>
    <n v="0"/>
    <s v="January"/>
    <s v="India"/>
    <n v="3"/>
    <n v="0"/>
    <n v="1"/>
    <n v="1"/>
    <n v="6"/>
    <n v="190.56"/>
    <x v="0"/>
    <m/>
  </r>
  <r>
    <x v="40"/>
    <x v="1"/>
    <n v="0"/>
    <s v="July"/>
    <s v="France"/>
    <n v="2"/>
    <n v="1"/>
    <n v="0"/>
    <n v="0"/>
    <n v="5"/>
    <n v="186.35"/>
    <x v="0"/>
    <m/>
  </r>
  <r>
    <x v="41"/>
    <x v="0"/>
    <n v="0"/>
    <s v="May"/>
    <s v="India"/>
    <n v="3"/>
    <n v="0"/>
    <n v="0"/>
    <n v="2"/>
    <n v="2"/>
    <n v="252.86"/>
    <x v="0"/>
    <m/>
  </r>
  <r>
    <x v="42"/>
    <x v="0"/>
    <n v="0"/>
    <s v="September"/>
    <s v="UAE"/>
    <n v="2"/>
    <n v="1"/>
    <n v="0"/>
    <n v="3"/>
    <n v="3"/>
    <n v="85.81"/>
    <x v="0"/>
    <m/>
  </r>
  <r>
    <x v="43"/>
    <x v="0"/>
    <n v="0"/>
    <s v="October"/>
    <s v="India"/>
    <n v="2"/>
    <n v="0"/>
    <n v="0"/>
    <n v="1"/>
    <n v="1"/>
    <n v="85.99"/>
    <x v="0"/>
    <m/>
  </r>
  <r>
    <x v="44"/>
    <x v="0"/>
    <n v="1"/>
    <s v="March"/>
    <s v="USA"/>
    <n v="1"/>
    <n v="1"/>
    <n v="0"/>
    <n v="2"/>
    <n v="1"/>
    <n v="82.51"/>
    <x v="1"/>
    <m/>
  </r>
  <r>
    <x v="45"/>
    <x v="0"/>
    <n v="0"/>
    <s v="September"/>
    <s v="USA"/>
    <n v="3"/>
    <n v="1"/>
    <n v="0"/>
    <n v="3"/>
    <n v="4"/>
    <n v="180.65"/>
    <x v="0"/>
    <m/>
  </r>
  <r>
    <x v="46"/>
    <x v="1"/>
    <n v="0"/>
    <s v="April"/>
    <s v="India"/>
    <n v="1"/>
    <n v="0"/>
    <n v="0"/>
    <n v="2"/>
    <n v="3"/>
    <n v="98.79"/>
    <x v="0"/>
    <m/>
  </r>
  <r>
    <x v="47"/>
    <x v="0"/>
    <n v="0"/>
    <s v="July"/>
    <s v="USA"/>
    <n v="1"/>
    <n v="0"/>
    <n v="0"/>
    <n v="2"/>
    <n v="7"/>
    <n v="210.02"/>
    <x v="0"/>
    <m/>
  </r>
  <r>
    <x v="48"/>
    <x v="0"/>
    <n v="0"/>
    <s v="August"/>
    <s v="South Africa"/>
    <n v="1"/>
    <n v="1"/>
    <n v="1"/>
    <n v="2"/>
    <n v="7"/>
    <n v="134.12"/>
    <x v="0"/>
    <m/>
  </r>
  <r>
    <x v="49"/>
    <x v="1"/>
    <n v="1"/>
    <s v="January"/>
    <s v="Canada"/>
    <n v="3"/>
    <n v="0"/>
    <n v="0"/>
    <n v="2"/>
    <n v="5"/>
    <n v="244.8"/>
    <x v="1"/>
    <m/>
  </r>
  <r>
    <x v="50"/>
    <x v="0"/>
    <n v="0"/>
    <s v="March"/>
    <s v="France"/>
    <n v="2"/>
    <n v="0"/>
    <n v="0"/>
    <n v="2"/>
    <n v="3"/>
    <n v="86.43"/>
    <x v="0"/>
    <m/>
  </r>
  <r>
    <x v="51"/>
    <x v="0"/>
    <n v="0"/>
    <s v="October"/>
    <s v="UAE"/>
    <n v="1"/>
    <n v="1"/>
    <n v="0"/>
    <n v="0"/>
    <n v="2"/>
    <n v="166.88"/>
    <x v="0"/>
    <m/>
  </r>
  <r>
    <x v="52"/>
    <x v="0"/>
    <n v="1"/>
    <s v="September"/>
    <s v="USA"/>
    <n v="2"/>
    <n v="0"/>
    <n v="1"/>
    <n v="1"/>
    <n v="1"/>
    <n v="56.25"/>
    <x v="1"/>
    <m/>
  </r>
  <r>
    <x v="53"/>
    <x v="1"/>
    <n v="0"/>
    <s v="May"/>
    <s v="India"/>
    <n v="3"/>
    <n v="0"/>
    <n v="0"/>
    <n v="1"/>
    <n v="1"/>
    <n v="244.43"/>
    <x v="0"/>
    <m/>
  </r>
  <r>
    <x v="54"/>
    <x v="0"/>
    <n v="0"/>
    <s v="December"/>
    <s v="India"/>
    <n v="2"/>
    <n v="0"/>
    <n v="0"/>
    <n v="3"/>
    <n v="2"/>
    <n v="203.82"/>
    <x v="0"/>
    <m/>
  </r>
  <r>
    <x v="55"/>
    <x v="1"/>
    <n v="1"/>
    <s v="July"/>
    <s v="Germany"/>
    <n v="1"/>
    <n v="1"/>
    <n v="0"/>
    <n v="0"/>
    <n v="5"/>
    <n v="289.18"/>
    <x v="1"/>
    <m/>
  </r>
  <r>
    <x v="56"/>
    <x v="1"/>
    <n v="0"/>
    <s v="September"/>
    <s v="Germany"/>
    <n v="1"/>
    <n v="0"/>
    <n v="0"/>
    <n v="1"/>
    <n v="3"/>
    <n v="139.61000000000001"/>
    <x v="0"/>
    <m/>
  </r>
  <r>
    <x v="57"/>
    <x v="0"/>
    <n v="0"/>
    <s v="July"/>
    <s v="UK"/>
    <n v="1"/>
    <n v="0"/>
    <n v="0"/>
    <n v="1"/>
    <n v="7"/>
    <n v="254.17"/>
    <x v="0"/>
    <m/>
  </r>
  <r>
    <x v="58"/>
    <x v="0"/>
    <n v="1"/>
    <s v="June"/>
    <s v="India"/>
    <n v="3"/>
    <n v="1"/>
    <n v="0"/>
    <n v="3"/>
    <n v="7"/>
    <n v="51.23"/>
    <x v="1"/>
    <m/>
  </r>
  <r>
    <x v="59"/>
    <x v="0"/>
    <n v="0"/>
    <s v="April"/>
    <s v="France"/>
    <n v="1"/>
    <n v="0"/>
    <n v="0"/>
    <n v="2"/>
    <n v="5"/>
    <n v="276.14999999999998"/>
    <x v="0"/>
    <m/>
  </r>
  <r>
    <x v="60"/>
    <x v="0"/>
    <n v="0"/>
    <s v="February"/>
    <s v="Australia"/>
    <n v="1"/>
    <n v="0"/>
    <n v="0"/>
    <n v="3"/>
    <n v="4"/>
    <n v="188.23"/>
    <x v="0"/>
    <m/>
  </r>
  <r>
    <x v="61"/>
    <x v="1"/>
    <n v="0"/>
    <s v="June"/>
    <s v="France"/>
    <n v="2"/>
    <n v="0"/>
    <n v="0"/>
    <n v="3"/>
    <n v="4"/>
    <n v="74.92"/>
    <x v="0"/>
    <m/>
  </r>
  <r>
    <x v="62"/>
    <x v="0"/>
    <n v="0"/>
    <s v="January"/>
    <s v="India"/>
    <n v="2"/>
    <n v="0"/>
    <n v="0"/>
    <n v="2"/>
    <n v="1"/>
    <n v="245.79"/>
    <x v="0"/>
    <m/>
  </r>
  <r>
    <x v="63"/>
    <x v="0"/>
    <n v="0"/>
    <s v="November"/>
    <s v="India"/>
    <n v="1"/>
    <n v="1"/>
    <n v="0"/>
    <n v="1"/>
    <n v="4"/>
    <n v="108.64"/>
    <x v="0"/>
    <m/>
  </r>
  <r>
    <x v="64"/>
    <x v="1"/>
    <n v="0"/>
    <s v="June"/>
    <s v="France"/>
    <n v="1"/>
    <n v="0"/>
    <n v="0"/>
    <n v="3"/>
    <n v="3"/>
    <n v="113.38"/>
    <x v="0"/>
    <m/>
  </r>
  <r>
    <x v="65"/>
    <x v="0"/>
    <n v="0"/>
    <s v="May"/>
    <s v="India"/>
    <n v="1"/>
    <n v="0"/>
    <n v="0"/>
    <n v="3"/>
    <n v="2"/>
    <n v="171.58"/>
    <x v="0"/>
    <m/>
  </r>
  <r>
    <x v="66"/>
    <x v="1"/>
    <n v="0"/>
    <s v="July"/>
    <s v="USA"/>
    <n v="2"/>
    <n v="0"/>
    <n v="0"/>
    <n v="2"/>
    <n v="4"/>
    <n v="134.01"/>
    <x v="0"/>
    <m/>
  </r>
  <r>
    <x v="67"/>
    <x v="1"/>
    <n v="0"/>
    <s v="March"/>
    <s v="UK"/>
    <n v="2"/>
    <n v="0"/>
    <n v="0"/>
    <n v="2"/>
    <n v="2"/>
    <n v="127.06"/>
    <x v="0"/>
    <m/>
  </r>
  <r>
    <x v="68"/>
    <x v="0"/>
    <n v="0"/>
    <s v="January"/>
    <s v="Brazil"/>
    <n v="3"/>
    <n v="2"/>
    <n v="0"/>
    <n v="0"/>
    <n v="7"/>
    <n v="241.13"/>
    <x v="0"/>
    <m/>
  </r>
  <r>
    <x v="69"/>
    <x v="0"/>
    <n v="0"/>
    <s v="June"/>
    <s v="UAE"/>
    <n v="2"/>
    <n v="0"/>
    <n v="0"/>
    <n v="2"/>
    <n v="3"/>
    <n v="248.39"/>
    <x v="0"/>
    <m/>
  </r>
  <r>
    <x v="70"/>
    <x v="1"/>
    <n v="0"/>
    <s v="December"/>
    <s v="UAE"/>
    <n v="1"/>
    <n v="0"/>
    <n v="0"/>
    <n v="1"/>
    <n v="3"/>
    <n v="270.97000000000003"/>
    <x v="0"/>
    <m/>
  </r>
  <r>
    <x v="71"/>
    <x v="0"/>
    <n v="1"/>
    <s v="July"/>
    <s v="India"/>
    <n v="1"/>
    <n v="0"/>
    <n v="0"/>
    <n v="1"/>
    <n v="1"/>
    <n v="223.28"/>
    <x v="1"/>
    <m/>
  </r>
  <r>
    <x v="72"/>
    <x v="0"/>
    <n v="1"/>
    <s v="October"/>
    <s v="Brazil"/>
    <n v="1"/>
    <n v="1"/>
    <n v="0"/>
    <n v="3"/>
    <n v="4"/>
    <n v="55.38"/>
    <x v="1"/>
    <m/>
  </r>
  <r>
    <x v="73"/>
    <x v="0"/>
    <n v="0"/>
    <s v="June"/>
    <s v="UK"/>
    <n v="2"/>
    <n v="0"/>
    <n v="1"/>
    <n v="2"/>
    <n v="6"/>
    <n v="224.29"/>
    <x v="0"/>
    <m/>
  </r>
  <r>
    <x v="74"/>
    <x v="1"/>
    <n v="0"/>
    <s v="January"/>
    <s v="UK"/>
    <n v="1"/>
    <n v="1"/>
    <n v="0"/>
    <n v="3"/>
    <n v="3"/>
    <n v="220.97"/>
    <x v="0"/>
    <m/>
  </r>
  <r>
    <x v="75"/>
    <x v="0"/>
    <n v="0"/>
    <s v="October"/>
    <s v="UK"/>
    <n v="3"/>
    <n v="0"/>
    <n v="0"/>
    <n v="3"/>
    <n v="2"/>
    <n v="142.61000000000001"/>
    <x v="0"/>
    <m/>
  </r>
  <r>
    <x v="76"/>
    <x v="0"/>
    <n v="0"/>
    <s v="June"/>
    <s v="UAE"/>
    <n v="2"/>
    <n v="0"/>
    <n v="0"/>
    <n v="1"/>
    <n v="7"/>
    <n v="261.52"/>
    <x v="0"/>
    <m/>
  </r>
  <r>
    <x v="77"/>
    <x v="0"/>
    <n v="1"/>
    <s v="September"/>
    <s v="India"/>
    <n v="1"/>
    <n v="1"/>
    <n v="0"/>
    <n v="3"/>
    <n v="4"/>
    <n v="245.16"/>
    <x v="1"/>
    <m/>
  </r>
  <r>
    <x v="78"/>
    <x v="0"/>
    <n v="0"/>
    <s v="May"/>
    <s v="USA"/>
    <n v="3"/>
    <n v="1"/>
    <n v="0"/>
    <n v="3"/>
    <n v="2"/>
    <n v="266.60000000000002"/>
    <x v="0"/>
    <m/>
  </r>
  <r>
    <x v="79"/>
    <x v="0"/>
    <n v="0"/>
    <s v="March"/>
    <s v="USA"/>
    <n v="1"/>
    <n v="0"/>
    <n v="0"/>
    <n v="0"/>
    <n v="6"/>
    <n v="162.19999999999999"/>
    <x v="0"/>
    <m/>
  </r>
  <r>
    <x v="80"/>
    <x v="0"/>
    <n v="0"/>
    <s v="June"/>
    <s v="India"/>
    <n v="2"/>
    <n v="0"/>
    <n v="0"/>
    <n v="1"/>
    <n v="2"/>
    <n v="287.62"/>
    <x v="0"/>
    <m/>
  </r>
  <r>
    <x v="81"/>
    <x v="0"/>
    <n v="0"/>
    <s v="June"/>
    <s v="India"/>
    <n v="3"/>
    <n v="0"/>
    <n v="0"/>
    <n v="3"/>
    <n v="7"/>
    <n v="258.36"/>
    <x v="0"/>
    <m/>
  </r>
  <r>
    <x v="82"/>
    <x v="0"/>
    <n v="0"/>
    <s v="August"/>
    <s v="UAE"/>
    <n v="3"/>
    <n v="0"/>
    <n v="0"/>
    <n v="0"/>
    <n v="2"/>
    <n v="275.44"/>
    <x v="0"/>
    <m/>
  </r>
  <r>
    <x v="83"/>
    <x v="0"/>
    <n v="0"/>
    <s v="March"/>
    <s v="India"/>
    <n v="2"/>
    <n v="0"/>
    <n v="0"/>
    <n v="2"/>
    <n v="1"/>
    <n v="291.7"/>
    <x v="0"/>
    <m/>
  </r>
  <r>
    <x v="84"/>
    <x v="1"/>
    <n v="1"/>
    <s v="September"/>
    <s v="USA"/>
    <n v="1"/>
    <n v="1"/>
    <n v="0"/>
    <n v="2"/>
    <n v="1"/>
    <n v="287.07"/>
    <x v="1"/>
    <m/>
  </r>
  <r>
    <x v="85"/>
    <x v="0"/>
    <n v="0"/>
    <s v="February"/>
    <s v="Canada"/>
    <n v="1"/>
    <n v="0"/>
    <n v="0"/>
    <n v="1"/>
    <n v="4"/>
    <n v="198.38"/>
    <x v="0"/>
    <m/>
  </r>
  <r>
    <x v="86"/>
    <x v="0"/>
    <n v="0"/>
    <s v="July"/>
    <s v="USA"/>
    <n v="2"/>
    <n v="2"/>
    <n v="0"/>
    <n v="1"/>
    <n v="4"/>
    <n v="83.2"/>
    <x v="0"/>
    <m/>
  </r>
  <r>
    <x v="87"/>
    <x v="0"/>
    <n v="0"/>
    <s v="August"/>
    <s v="Brazil"/>
    <n v="2"/>
    <n v="2"/>
    <n v="0"/>
    <n v="2"/>
    <n v="1"/>
    <n v="213.5"/>
    <x v="0"/>
    <m/>
  </r>
  <r>
    <x v="88"/>
    <x v="0"/>
    <n v="1"/>
    <s v="March"/>
    <s v="USA"/>
    <n v="3"/>
    <n v="0"/>
    <n v="0"/>
    <n v="1"/>
    <n v="4"/>
    <n v="81.89"/>
    <x v="1"/>
    <m/>
  </r>
  <r>
    <x v="89"/>
    <x v="0"/>
    <n v="0"/>
    <s v="April"/>
    <s v="USA"/>
    <n v="2"/>
    <n v="2"/>
    <n v="0"/>
    <n v="2"/>
    <n v="5"/>
    <n v="258.69"/>
    <x v="0"/>
    <m/>
  </r>
  <r>
    <x v="90"/>
    <x v="0"/>
    <n v="0"/>
    <s v="April"/>
    <s v="India"/>
    <n v="2"/>
    <n v="0"/>
    <n v="0"/>
    <n v="3"/>
    <n v="6"/>
    <n v="159.16999999999999"/>
    <x v="0"/>
    <m/>
  </r>
  <r>
    <x v="91"/>
    <x v="0"/>
    <n v="0"/>
    <s v="April"/>
    <s v="UK"/>
    <n v="3"/>
    <n v="1"/>
    <n v="0"/>
    <n v="1"/>
    <n v="2"/>
    <n v="288.48"/>
    <x v="0"/>
    <m/>
  </r>
  <r>
    <x v="92"/>
    <x v="0"/>
    <n v="0"/>
    <s v="April"/>
    <s v="Germany"/>
    <n v="3"/>
    <n v="0"/>
    <n v="0"/>
    <n v="0"/>
    <n v="6"/>
    <n v="95.13"/>
    <x v="0"/>
    <m/>
  </r>
  <r>
    <x v="93"/>
    <x v="0"/>
    <n v="0"/>
    <s v="February"/>
    <s v="India"/>
    <n v="3"/>
    <n v="0"/>
    <n v="0"/>
    <n v="1"/>
    <n v="2"/>
    <n v="160.72999999999999"/>
    <x v="0"/>
    <m/>
  </r>
  <r>
    <x v="94"/>
    <x v="0"/>
    <n v="0"/>
    <s v="September"/>
    <s v="Canada"/>
    <n v="3"/>
    <n v="0"/>
    <n v="0"/>
    <n v="3"/>
    <n v="4"/>
    <n v="208.6"/>
    <x v="0"/>
    <m/>
  </r>
  <r>
    <x v="95"/>
    <x v="1"/>
    <n v="0"/>
    <s v="June"/>
    <s v="USA"/>
    <n v="1"/>
    <n v="0"/>
    <n v="0"/>
    <n v="3"/>
    <n v="1"/>
    <n v="82.78"/>
    <x v="0"/>
    <m/>
  </r>
  <r>
    <x v="96"/>
    <x v="0"/>
    <n v="1"/>
    <s v="July"/>
    <s v="USA"/>
    <n v="3"/>
    <n v="1"/>
    <n v="0"/>
    <n v="3"/>
    <n v="5"/>
    <n v="55.29"/>
    <x v="1"/>
    <m/>
  </r>
  <r>
    <x v="97"/>
    <x v="1"/>
    <n v="1"/>
    <s v="April"/>
    <s v="India"/>
    <n v="1"/>
    <n v="0"/>
    <n v="0"/>
    <n v="3"/>
    <n v="2"/>
    <n v="122.64"/>
    <x v="1"/>
    <m/>
  </r>
  <r>
    <x v="98"/>
    <x v="1"/>
    <n v="0"/>
    <s v="February"/>
    <s v="USA"/>
    <n v="2"/>
    <n v="1"/>
    <n v="0"/>
    <n v="0"/>
    <n v="6"/>
    <n v="130.88999999999999"/>
    <x v="0"/>
    <m/>
  </r>
  <r>
    <x v="99"/>
    <x v="1"/>
    <n v="0"/>
    <s v="May"/>
    <s v="France"/>
    <n v="1"/>
    <n v="0"/>
    <n v="0"/>
    <n v="3"/>
    <n v="6"/>
    <n v="106.3"/>
    <x v="0"/>
    <m/>
  </r>
  <r>
    <x v="100"/>
    <x v="0"/>
    <n v="0"/>
    <s v="October"/>
    <s v="India"/>
    <n v="1"/>
    <n v="0"/>
    <n v="0"/>
    <n v="3"/>
    <n v="2"/>
    <n v="77.14"/>
    <x v="0"/>
    <m/>
  </r>
  <r>
    <x v="101"/>
    <x v="0"/>
    <n v="1"/>
    <s v="July"/>
    <s v="Australia"/>
    <n v="3"/>
    <n v="0"/>
    <n v="0"/>
    <n v="0"/>
    <n v="2"/>
    <n v="290.82"/>
    <x v="1"/>
    <m/>
  </r>
  <r>
    <x v="102"/>
    <x v="1"/>
    <n v="0"/>
    <s v="July"/>
    <s v="Brazil"/>
    <n v="2"/>
    <n v="0"/>
    <n v="0"/>
    <n v="0"/>
    <n v="7"/>
    <n v="180.68"/>
    <x v="0"/>
    <m/>
  </r>
  <r>
    <x v="103"/>
    <x v="0"/>
    <n v="1"/>
    <s v="February"/>
    <s v="India"/>
    <n v="1"/>
    <n v="0"/>
    <n v="0"/>
    <n v="2"/>
    <n v="3"/>
    <n v="78.73"/>
    <x v="1"/>
    <m/>
  </r>
  <r>
    <x v="104"/>
    <x v="0"/>
    <n v="1"/>
    <s v="August"/>
    <s v="UK"/>
    <n v="2"/>
    <n v="2"/>
    <n v="0"/>
    <n v="3"/>
    <n v="4"/>
    <n v="200.93"/>
    <x v="1"/>
    <m/>
  </r>
  <r>
    <x v="105"/>
    <x v="1"/>
    <n v="0"/>
    <s v="March"/>
    <s v="India"/>
    <n v="3"/>
    <n v="1"/>
    <n v="0"/>
    <n v="1"/>
    <n v="2"/>
    <n v="162.69999999999999"/>
    <x v="0"/>
    <m/>
  </r>
  <r>
    <x v="106"/>
    <x v="0"/>
    <n v="0"/>
    <s v="June"/>
    <s v="USA"/>
    <n v="1"/>
    <n v="1"/>
    <n v="0"/>
    <n v="0"/>
    <n v="2"/>
    <n v="214.57"/>
    <x v="0"/>
    <m/>
  </r>
  <r>
    <x v="107"/>
    <x v="1"/>
    <n v="0"/>
    <s v="August"/>
    <s v="UK"/>
    <n v="3"/>
    <n v="0"/>
    <n v="0"/>
    <n v="1"/>
    <n v="1"/>
    <n v="291.58999999999997"/>
    <x v="0"/>
    <m/>
  </r>
  <r>
    <x v="108"/>
    <x v="0"/>
    <n v="1"/>
    <s v="September"/>
    <s v="India"/>
    <n v="2"/>
    <n v="1"/>
    <n v="0"/>
    <n v="1"/>
    <n v="6"/>
    <n v="167.3"/>
    <x v="1"/>
    <m/>
  </r>
  <r>
    <x v="109"/>
    <x v="0"/>
    <n v="0"/>
    <s v="August"/>
    <s v="USA"/>
    <n v="1"/>
    <n v="0"/>
    <n v="0"/>
    <n v="1"/>
    <n v="7"/>
    <n v="116.21"/>
    <x v="0"/>
    <m/>
  </r>
  <r>
    <x v="110"/>
    <x v="1"/>
    <n v="0"/>
    <s v="March"/>
    <s v="USA"/>
    <n v="2"/>
    <n v="0"/>
    <n v="0"/>
    <n v="2"/>
    <n v="3"/>
    <n v="142.1"/>
    <x v="0"/>
    <m/>
  </r>
  <r>
    <x v="111"/>
    <x v="0"/>
    <n v="0"/>
    <s v="July"/>
    <s v="South Africa"/>
    <n v="1"/>
    <n v="0"/>
    <n v="0"/>
    <n v="0"/>
    <n v="1"/>
    <n v="139.85"/>
    <x v="0"/>
    <m/>
  </r>
  <r>
    <x v="112"/>
    <x v="0"/>
    <n v="0"/>
    <s v="May"/>
    <s v="Brazil"/>
    <n v="1"/>
    <n v="1"/>
    <n v="0"/>
    <n v="3"/>
    <n v="5"/>
    <n v="98.33"/>
    <x v="0"/>
    <m/>
  </r>
  <r>
    <x v="113"/>
    <x v="0"/>
    <n v="1"/>
    <s v="September"/>
    <s v="Canada"/>
    <n v="1"/>
    <n v="1"/>
    <n v="0"/>
    <n v="0"/>
    <n v="4"/>
    <n v="65.62"/>
    <x v="1"/>
    <m/>
  </r>
  <r>
    <x v="114"/>
    <x v="0"/>
    <n v="0"/>
    <s v="August"/>
    <s v="India"/>
    <n v="2"/>
    <n v="0"/>
    <n v="1"/>
    <n v="1"/>
    <n v="3"/>
    <n v="137.97"/>
    <x v="0"/>
    <m/>
  </r>
  <r>
    <x v="115"/>
    <x v="1"/>
    <n v="0"/>
    <s v="June"/>
    <s v="India"/>
    <n v="2"/>
    <n v="0"/>
    <n v="0"/>
    <n v="0"/>
    <n v="7"/>
    <n v="314.85000000000002"/>
    <x v="0"/>
    <m/>
  </r>
  <r>
    <x v="116"/>
    <x v="1"/>
    <n v="0"/>
    <s v="September"/>
    <s v="India"/>
    <n v="1"/>
    <n v="0"/>
    <n v="0"/>
    <n v="0"/>
    <n v="4"/>
    <n v="292.18"/>
    <x v="0"/>
    <m/>
  </r>
  <r>
    <x v="117"/>
    <x v="0"/>
    <n v="0"/>
    <s v="June"/>
    <s v="France"/>
    <n v="3"/>
    <n v="1"/>
    <n v="0"/>
    <n v="2"/>
    <n v="5"/>
    <n v="246.97"/>
    <x v="0"/>
    <m/>
  </r>
  <r>
    <x v="118"/>
    <x v="0"/>
    <n v="0"/>
    <s v="May"/>
    <s v="UAE"/>
    <n v="1"/>
    <n v="0"/>
    <n v="0"/>
    <n v="0"/>
    <n v="6"/>
    <n v="180.98"/>
    <x v="0"/>
    <m/>
  </r>
  <r>
    <x v="119"/>
    <x v="0"/>
    <n v="1"/>
    <s v="November"/>
    <s v="UK"/>
    <n v="3"/>
    <n v="0"/>
    <n v="0"/>
    <n v="0"/>
    <n v="7"/>
    <n v="105.97"/>
    <x v="1"/>
    <m/>
  </r>
  <r>
    <x v="120"/>
    <x v="1"/>
    <n v="0"/>
    <s v="July"/>
    <s v="France"/>
    <n v="2"/>
    <n v="0"/>
    <n v="0"/>
    <n v="1"/>
    <n v="7"/>
    <n v="223.66"/>
    <x v="0"/>
    <m/>
  </r>
  <r>
    <x v="121"/>
    <x v="0"/>
    <n v="0"/>
    <s v="June"/>
    <s v="Australia"/>
    <n v="1"/>
    <n v="0"/>
    <n v="0"/>
    <n v="0"/>
    <n v="2"/>
    <n v="91.28"/>
    <x v="0"/>
    <m/>
  </r>
  <r>
    <x v="122"/>
    <x v="0"/>
    <n v="0"/>
    <s v="February"/>
    <s v="Brazil"/>
    <n v="3"/>
    <n v="2"/>
    <n v="0"/>
    <n v="0"/>
    <n v="5"/>
    <n v="236.74"/>
    <x v="0"/>
    <m/>
  </r>
  <r>
    <x v="123"/>
    <x v="0"/>
    <n v="0"/>
    <s v="October"/>
    <s v="India"/>
    <n v="3"/>
    <n v="0"/>
    <n v="0"/>
    <n v="2"/>
    <n v="4"/>
    <n v="197.48"/>
    <x v="0"/>
    <m/>
  </r>
  <r>
    <x v="124"/>
    <x v="1"/>
    <n v="1"/>
    <s v="July"/>
    <s v="India"/>
    <n v="3"/>
    <n v="0"/>
    <n v="0"/>
    <n v="2"/>
    <n v="3"/>
    <n v="143.91"/>
    <x v="1"/>
    <m/>
  </r>
  <r>
    <x v="125"/>
    <x v="0"/>
    <n v="0"/>
    <s v="July"/>
    <s v="India"/>
    <n v="1"/>
    <n v="0"/>
    <n v="0"/>
    <n v="2"/>
    <n v="2"/>
    <n v="144.41999999999999"/>
    <x v="0"/>
    <m/>
  </r>
  <r>
    <x v="126"/>
    <x v="0"/>
    <n v="0"/>
    <s v="May"/>
    <s v="UAE"/>
    <n v="3"/>
    <n v="0"/>
    <n v="0"/>
    <n v="0"/>
    <n v="7"/>
    <n v="214.4"/>
    <x v="0"/>
    <m/>
  </r>
  <r>
    <x v="127"/>
    <x v="0"/>
    <n v="0"/>
    <s v="September"/>
    <s v="India"/>
    <n v="3"/>
    <n v="0"/>
    <n v="0"/>
    <n v="2"/>
    <n v="2"/>
    <n v="237.32"/>
    <x v="0"/>
    <m/>
  </r>
  <r>
    <x v="128"/>
    <x v="1"/>
    <n v="0"/>
    <s v="October"/>
    <s v="USA"/>
    <n v="3"/>
    <n v="0"/>
    <n v="0"/>
    <n v="3"/>
    <n v="1"/>
    <n v="203.48"/>
    <x v="0"/>
    <m/>
  </r>
  <r>
    <x v="129"/>
    <x v="0"/>
    <n v="0"/>
    <s v="June"/>
    <s v="Canada"/>
    <n v="3"/>
    <n v="0"/>
    <n v="0"/>
    <n v="1"/>
    <n v="4"/>
    <n v="211.25"/>
    <x v="0"/>
    <m/>
  </r>
  <r>
    <x v="130"/>
    <x v="0"/>
    <n v="0"/>
    <s v="August"/>
    <s v="USA"/>
    <n v="3"/>
    <n v="2"/>
    <n v="0"/>
    <n v="0"/>
    <n v="3"/>
    <n v="264.54000000000002"/>
    <x v="0"/>
    <m/>
  </r>
  <r>
    <x v="131"/>
    <x v="0"/>
    <n v="1"/>
    <s v="July"/>
    <s v="UAE"/>
    <n v="2"/>
    <n v="2"/>
    <n v="0"/>
    <n v="0"/>
    <n v="4"/>
    <n v="236.38"/>
    <x v="1"/>
    <m/>
  </r>
  <r>
    <x v="132"/>
    <x v="0"/>
    <n v="0"/>
    <s v="September"/>
    <s v="Germany"/>
    <n v="1"/>
    <n v="0"/>
    <n v="0"/>
    <n v="0"/>
    <n v="5"/>
    <n v="106.24"/>
    <x v="0"/>
    <m/>
  </r>
  <r>
    <x v="133"/>
    <x v="0"/>
    <n v="0"/>
    <s v="May"/>
    <s v="Brazil"/>
    <n v="1"/>
    <n v="0"/>
    <n v="0"/>
    <n v="1"/>
    <n v="7"/>
    <n v="146.19999999999999"/>
    <x v="0"/>
    <m/>
  </r>
  <r>
    <x v="134"/>
    <x v="0"/>
    <n v="0"/>
    <s v="August"/>
    <s v="UAE"/>
    <n v="1"/>
    <n v="0"/>
    <n v="0"/>
    <n v="1"/>
    <n v="6"/>
    <n v="211.17"/>
    <x v="0"/>
    <m/>
  </r>
  <r>
    <x v="135"/>
    <x v="0"/>
    <n v="1"/>
    <s v="October"/>
    <s v="UK"/>
    <n v="3"/>
    <n v="0"/>
    <n v="0"/>
    <n v="3"/>
    <n v="4"/>
    <n v="254.15"/>
    <x v="1"/>
    <m/>
  </r>
  <r>
    <x v="136"/>
    <x v="0"/>
    <n v="1"/>
    <s v="September"/>
    <s v="India"/>
    <n v="1"/>
    <n v="0"/>
    <n v="0"/>
    <n v="2"/>
    <n v="5"/>
    <n v="60.7"/>
    <x v="1"/>
    <m/>
  </r>
  <r>
    <x v="137"/>
    <x v="1"/>
    <n v="1"/>
    <s v="May"/>
    <s v="USA"/>
    <n v="3"/>
    <n v="0"/>
    <n v="0"/>
    <n v="3"/>
    <n v="7"/>
    <n v="246.7"/>
    <x v="1"/>
    <m/>
  </r>
  <r>
    <x v="138"/>
    <x v="0"/>
    <n v="1"/>
    <s v="October"/>
    <s v="South Africa"/>
    <n v="1"/>
    <n v="0"/>
    <n v="0"/>
    <n v="2"/>
    <n v="1"/>
    <n v="264.66000000000003"/>
    <x v="1"/>
    <m/>
  </r>
  <r>
    <x v="139"/>
    <x v="1"/>
    <n v="0"/>
    <s v="August"/>
    <s v="India"/>
    <n v="2"/>
    <n v="2"/>
    <n v="0"/>
    <n v="3"/>
    <n v="3"/>
    <n v="214.58"/>
    <x v="0"/>
    <m/>
  </r>
  <r>
    <x v="140"/>
    <x v="0"/>
    <n v="1"/>
    <s v="August"/>
    <s v="USA"/>
    <n v="3"/>
    <n v="1"/>
    <n v="0"/>
    <n v="2"/>
    <n v="6"/>
    <n v="239.25"/>
    <x v="1"/>
    <m/>
  </r>
  <r>
    <x v="141"/>
    <x v="0"/>
    <n v="0"/>
    <s v="July"/>
    <s v="India"/>
    <n v="1"/>
    <n v="0"/>
    <n v="0"/>
    <n v="0"/>
    <n v="1"/>
    <n v="216.85"/>
    <x v="0"/>
    <m/>
  </r>
  <r>
    <x v="142"/>
    <x v="1"/>
    <n v="0"/>
    <s v="September"/>
    <s v="India"/>
    <n v="1"/>
    <n v="0"/>
    <n v="0"/>
    <n v="2"/>
    <n v="7"/>
    <n v="211.94"/>
    <x v="0"/>
    <m/>
  </r>
  <r>
    <x v="143"/>
    <x v="0"/>
    <n v="0"/>
    <s v="July"/>
    <s v="UAE"/>
    <n v="2"/>
    <n v="0"/>
    <n v="0"/>
    <n v="0"/>
    <n v="3"/>
    <n v="180.95"/>
    <x v="0"/>
    <m/>
  </r>
  <r>
    <x v="144"/>
    <x v="0"/>
    <n v="1"/>
    <s v="July"/>
    <s v="Germany"/>
    <n v="1"/>
    <n v="2"/>
    <n v="0"/>
    <n v="1"/>
    <n v="2"/>
    <n v="246.82"/>
    <x v="1"/>
    <m/>
  </r>
  <r>
    <x v="145"/>
    <x v="1"/>
    <n v="1"/>
    <s v="August"/>
    <s v="India"/>
    <n v="3"/>
    <n v="2"/>
    <n v="0"/>
    <n v="2"/>
    <n v="4"/>
    <n v="130.55000000000001"/>
    <x v="1"/>
    <m/>
  </r>
  <r>
    <x v="146"/>
    <x v="0"/>
    <n v="0"/>
    <s v="August"/>
    <s v="UAE"/>
    <n v="2"/>
    <n v="0"/>
    <n v="0"/>
    <n v="2"/>
    <n v="3"/>
    <n v="234.54"/>
    <x v="0"/>
    <m/>
  </r>
  <r>
    <x v="147"/>
    <x v="1"/>
    <n v="0"/>
    <s v="November"/>
    <s v="UAE"/>
    <n v="2"/>
    <n v="0"/>
    <n v="0"/>
    <n v="2"/>
    <n v="2"/>
    <n v="114.01"/>
    <x v="0"/>
    <m/>
  </r>
  <r>
    <x v="148"/>
    <x v="0"/>
    <n v="0"/>
    <s v="September"/>
    <s v="UK"/>
    <n v="2"/>
    <n v="0"/>
    <n v="0"/>
    <n v="2"/>
    <n v="6"/>
    <n v="286"/>
    <x v="0"/>
    <m/>
  </r>
  <r>
    <x v="149"/>
    <x v="0"/>
    <n v="0"/>
    <s v="June"/>
    <s v="Brazil"/>
    <n v="3"/>
    <n v="0"/>
    <n v="0"/>
    <n v="0"/>
    <n v="5"/>
    <n v="79"/>
    <x v="0"/>
    <m/>
  </r>
  <r>
    <x v="150"/>
    <x v="0"/>
    <n v="0"/>
    <s v="October"/>
    <s v="UAE"/>
    <n v="1"/>
    <n v="0"/>
    <n v="0"/>
    <n v="0"/>
    <n v="7"/>
    <n v="293.24"/>
    <x v="0"/>
    <m/>
  </r>
  <r>
    <x v="151"/>
    <x v="0"/>
    <n v="0"/>
    <s v="April"/>
    <s v="Canada"/>
    <n v="2"/>
    <n v="1"/>
    <n v="0"/>
    <n v="0"/>
    <n v="4"/>
    <n v="217.29"/>
    <x v="0"/>
    <m/>
  </r>
  <r>
    <x v="152"/>
    <x v="0"/>
    <n v="0"/>
    <s v="July"/>
    <s v="India"/>
    <n v="2"/>
    <n v="0"/>
    <n v="0"/>
    <n v="2"/>
    <n v="1"/>
    <n v="56.06"/>
    <x v="0"/>
    <m/>
  </r>
  <r>
    <x v="153"/>
    <x v="0"/>
    <n v="0"/>
    <s v="February"/>
    <s v="Canada"/>
    <n v="2"/>
    <n v="2"/>
    <n v="0"/>
    <n v="1"/>
    <n v="6"/>
    <n v="151.83000000000001"/>
    <x v="0"/>
    <m/>
  </r>
  <r>
    <x v="154"/>
    <x v="1"/>
    <n v="0"/>
    <s v="August"/>
    <s v="India"/>
    <n v="3"/>
    <n v="2"/>
    <n v="0"/>
    <n v="1"/>
    <n v="5"/>
    <n v="209.26"/>
    <x v="0"/>
    <m/>
  </r>
  <r>
    <x v="155"/>
    <x v="1"/>
    <n v="0"/>
    <s v="October"/>
    <s v="UK"/>
    <n v="3"/>
    <n v="1"/>
    <n v="0"/>
    <n v="2"/>
    <n v="4"/>
    <n v="178.51"/>
    <x v="0"/>
    <m/>
  </r>
  <r>
    <x v="156"/>
    <x v="0"/>
    <n v="0"/>
    <s v="November"/>
    <s v="India"/>
    <n v="2"/>
    <n v="0"/>
    <n v="0"/>
    <n v="1"/>
    <n v="4"/>
    <n v="93.52"/>
    <x v="0"/>
    <m/>
  </r>
  <r>
    <x v="157"/>
    <x v="0"/>
    <n v="0"/>
    <s v="August"/>
    <s v="India"/>
    <n v="1"/>
    <n v="2"/>
    <n v="0"/>
    <n v="0"/>
    <n v="5"/>
    <n v="88.74"/>
    <x v="0"/>
    <m/>
  </r>
  <r>
    <x v="158"/>
    <x v="1"/>
    <n v="0"/>
    <s v="January"/>
    <s v="India"/>
    <n v="1"/>
    <n v="0"/>
    <n v="0"/>
    <n v="3"/>
    <n v="4"/>
    <n v="318.42"/>
    <x v="0"/>
    <m/>
  </r>
  <r>
    <x v="159"/>
    <x v="0"/>
    <n v="0"/>
    <s v="December"/>
    <s v="Brazil"/>
    <n v="1"/>
    <n v="0"/>
    <n v="0"/>
    <n v="3"/>
    <n v="3"/>
    <n v="268.23"/>
    <x v="0"/>
    <m/>
  </r>
  <r>
    <x v="160"/>
    <x v="0"/>
    <n v="0"/>
    <s v="July"/>
    <s v="UK"/>
    <n v="1"/>
    <n v="0"/>
    <n v="0"/>
    <n v="3"/>
    <n v="6"/>
    <n v="61.82"/>
    <x v="0"/>
    <m/>
  </r>
  <r>
    <x v="161"/>
    <x v="0"/>
    <n v="0"/>
    <s v="April"/>
    <s v="India"/>
    <n v="3"/>
    <n v="0"/>
    <n v="0"/>
    <n v="2"/>
    <n v="6"/>
    <n v="50.57"/>
    <x v="0"/>
    <m/>
  </r>
  <r>
    <x v="162"/>
    <x v="0"/>
    <n v="1"/>
    <s v="August"/>
    <s v="India"/>
    <n v="1"/>
    <n v="0"/>
    <n v="0"/>
    <n v="2"/>
    <n v="4"/>
    <n v="186.8"/>
    <x v="1"/>
    <m/>
  </r>
  <r>
    <x v="163"/>
    <x v="1"/>
    <n v="0"/>
    <s v="July"/>
    <s v="UK"/>
    <n v="1"/>
    <n v="0"/>
    <n v="0"/>
    <n v="1"/>
    <n v="1"/>
    <n v="290.81"/>
    <x v="0"/>
    <m/>
  </r>
  <r>
    <x v="164"/>
    <x v="0"/>
    <n v="0"/>
    <s v="May"/>
    <s v="India"/>
    <n v="2"/>
    <n v="0"/>
    <n v="0"/>
    <n v="2"/>
    <n v="7"/>
    <n v="163.25"/>
    <x v="0"/>
    <m/>
  </r>
  <r>
    <x v="165"/>
    <x v="0"/>
    <n v="0"/>
    <s v="July"/>
    <s v="Australia"/>
    <n v="1"/>
    <n v="0"/>
    <n v="0"/>
    <n v="0"/>
    <n v="7"/>
    <n v="245.15"/>
    <x v="0"/>
    <m/>
  </r>
  <r>
    <x v="166"/>
    <x v="0"/>
    <n v="0"/>
    <s v="August"/>
    <s v="USA"/>
    <n v="1"/>
    <n v="0"/>
    <n v="0"/>
    <n v="3"/>
    <n v="6"/>
    <n v="128.57"/>
    <x v="0"/>
    <m/>
  </r>
  <r>
    <x v="167"/>
    <x v="1"/>
    <n v="0"/>
    <s v="April"/>
    <s v="Brazil"/>
    <n v="2"/>
    <n v="0"/>
    <n v="0"/>
    <n v="0"/>
    <n v="3"/>
    <n v="273.07"/>
    <x v="0"/>
    <m/>
  </r>
  <r>
    <x v="168"/>
    <x v="0"/>
    <n v="0"/>
    <s v="June"/>
    <s v="USA"/>
    <n v="3"/>
    <n v="1"/>
    <n v="0"/>
    <n v="2"/>
    <n v="6"/>
    <n v="248.22"/>
    <x v="0"/>
    <m/>
  </r>
  <r>
    <x v="169"/>
    <x v="0"/>
    <n v="1"/>
    <s v="January"/>
    <s v="India"/>
    <n v="3"/>
    <n v="0"/>
    <n v="0"/>
    <n v="0"/>
    <n v="7"/>
    <n v="230.36"/>
    <x v="1"/>
    <m/>
  </r>
  <r>
    <x v="170"/>
    <x v="1"/>
    <n v="0"/>
    <s v="January"/>
    <s v="India"/>
    <n v="1"/>
    <n v="1"/>
    <n v="0"/>
    <n v="1"/>
    <n v="2"/>
    <n v="219.09"/>
    <x v="0"/>
    <m/>
  </r>
  <r>
    <x v="171"/>
    <x v="0"/>
    <n v="1"/>
    <s v="May"/>
    <s v="USA"/>
    <n v="1"/>
    <n v="0"/>
    <n v="0"/>
    <n v="3"/>
    <n v="1"/>
    <n v="63.95"/>
    <x v="1"/>
    <m/>
  </r>
  <r>
    <x v="172"/>
    <x v="1"/>
    <n v="1"/>
    <s v="September"/>
    <s v="India"/>
    <n v="2"/>
    <n v="2"/>
    <n v="0"/>
    <n v="2"/>
    <n v="6"/>
    <n v="192.92"/>
    <x v="1"/>
    <m/>
  </r>
  <r>
    <x v="173"/>
    <x v="1"/>
    <n v="0"/>
    <s v="November"/>
    <s v="India"/>
    <n v="2"/>
    <n v="0"/>
    <n v="1"/>
    <n v="3"/>
    <n v="4"/>
    <n v="151.32"/>
    <x v="0"/>
    <m/>
  </r>
  <r>
    <x v="174"/>
    <x v="0"/>
    <n v="0"/>
    <s v="July"/>
    <s v="UK"/>
    <n v="3"/>
    <n v="0"/>
    <n v="0"/>
    <n v="1"/>
    <n v="3"/>
    <n v="116.03"/>
    <x v="0"/>
    <m/>
  </r>
  <r>
    <x v="175"/>
    <x v="0"/>
    <n v="0"/>
    <s v="August"/>
    <s v="India"/>
    <n v="2"/>
    <n v="0"/>
    <n v="0"/>
    <n v="2"/>
    <n v="5"/>
    <n v="109.7"/>
    <x v="0"/>
    <m/>
  </r>
  <r>
    <x v="176"/>
    <x v="1"/>
    <n v="0"/>
    <s v="September"/>
    <s v="USA"/>
    <n v="2"/>
    <n v="0"/>
    <n v="0"/>
    <n v="1"/>
    <n v="1"/>
    <n v="122.91"/>
    <x v="0"/>
    <m/>
  </r>
  <r>
    <x v="177"/>
    <x v="0"/>
    <n v="0"/>
    <s v="August"/>
    <s v="India"/>
    <n v="2"/>
    <n v="0"/>
    <n v="0"/>
    <n v="2"/>
    <n v="7"/>
    <n v="286.2"/>
    <x v="0"/>
    <m/>
  </r>
  <r>
    <x v="178"/>
    <x v="0"/>
    <n v="0"/>
    <s v="May"/>
    <s v="India"/>
    <n v="1"/>
    <n v="0"/>
    <n v="0"/>
    <n v="2"/>
    <n v="4"/>
    <n v="218.34"/>
    <x v="0"/>
    <m/>
  </r>
  <r>
    <x v="179"/>
    <x v="1"/>
    <n v="0"/>
    <s v="May"/>
    <s v="Germany"/>
    <n v="1"/>
    <n v="0"/>
    <n v="0"/>
    <n v="1"/>
    <n v="4"/>
    <n v="313.55"/>
    <x v="0"/>
    <m/>
  </r>
  <r>
    <x v="180"/>
    <x v="0"/>
    <n v="1"/>
    <s v="September"/>
    <s v="India"/>
    <n v="3"/>
    <n v="0"/>
    <n v="0"/>
    <n v="0"/>
    <n v="2"/>
    <n v="89.61"/>
    <x v="1"/>
    <m/>
  </r>
  <r>
    <x v="181"/>
    <x v="0"/>
    <n v="1"/>
    <s v="July"/>
    <s v="India"/>
    <n v="2"/>
    <n v="2"/>
    <n v="0"/>
    <n v="0"/>
    <n v="7"/>
    <n v="294.55"/>
    <x v="1"/>
    <m/>
  </r>
  <r>
    <x v="182"/>
    <x v="1"/>
    <n v="0"/>
    <s v="November"/>
    <s v="Germany"/>
    <n v="1"/>
    <n v="0"/>
    <n v="0"/>
    <n v="3"/>
    <n v="5"/>
    <n v="294.94"/>
    <x v="0"/>
    <m/>
  </r>
  <r>
    <x v="183"/>
    <x v="0"/>
    <n v="0"/>
    <s v="April"/>
    <s v="India"/>
    <n v="1"/>
    <n v="0"/>
    <n v="0"/>
    <n v="3"/>
    <n v="1"/>
    <n v="76.33"/>
    <x v="0"/>
    <m/>
  </r>
  <r>
    <x v="184"/>
    <x v="1"/>
    <n v="0"/>
    <s v="October"/>
    <s v="UAE"/>
    <n v="1"/>
    <n v="0"/>
    <n v="0"/>
    <n v="1"/>
    <n v="5"/>
    <n v="175.45"/>
    <x v="0"/>
    <m/>
  </r>
  <r>
    <x v="185"/>
    <x v="0"/>
    <n v="0"/>
    <s v="July"/>
    <s v="India"/>
    <n v="2"/>
    <n v="1"/>
    <n v="0"/>
    <n v="1"/>
    <n v="7"/>
    <n v="69.86"/>
    <x v="0"/>
    <m/>
  </r>
  <r>
    <x v="186"/>
    <x v="1"/>
    <n v="0"/>
    <s v="January"/>
    <s v="India"/>
    <n v="1"/>
    <n v="0"/>
    <n v="0"/>
    <n v="2"/>
    <n v="2"/>
    <n v="178.12"/>
    <x v="0"/>
    <m/>
  </r>
  <r>
    <x v="187"/>
    <x v="1"/>
    <n v="0"/>
    <s v="July"/>
    <s v="Australia"/>
    <n v="1"/>
    <n v="0"/>
    <n v="0"/>
    <n v="2"/>
    <n v="1"/>
    <n v="127.78"/>
    <x v="0"/>
    <m/>
  </r>
  <r>
    <x v="188"/>
    <x v="0"/>
    <n v="0"/>
    <s v="March"/>
    <s v="India"/>
    <n v="2"/>
    <n v="0"/>
    <n v="0"/>
    <n v="2"/>
    <n v="2"/>
    <n v="216.25"/>
    <x v="0"/>
    <m/>
  </r>
  <r>
    <x v="189"/>
    <x v="1"/>
    <n v="1"/>
    <s v="October"/>
    <s v="USA"/>
    <n v="2"/>
    <n v="0"/>
    <n v="0"/>
    <n v="3"/>
    <n v="7"/>
    <n v="231.17"/>
    <x v="1"/>
    <m/>
  </r>
  <r>
    <x v="190"/>
    <x v="0"/>
    <n v="0"/>
    <s v="July"/>
    <s v="USA"/>
    <n v="2"/>
    <n v="0"/>
    <n v="0"/>
    <n v="1"/>
    <n v="3"/>
    <n v="222.89"/>
    <x v="0"/>
    <m/>
  </r>
  <r>
    <x v="191"/>
    <x v="0"/>
    <n v="1"/>
    <s v="November"/>
    <s v="UK"/>
    <n v="3"/>
    <n v="0"/>
    <n v="1"/>
    <n v="3"/>
    <n v="6"/>
    <n v="297.92"/>
    <x v="1"/>
    <m/>
  </r>
  <r>
    <x v="192"/>
    <x v="0"/>
    <n v="1"/>
    <s v="September"/>
    <s v="India"/>
    <n v="1"/>
    <n v="1"/>
    <n v="0"/>
    <n v="1"/>
    <n v="7"/>
    <n v="214.4"/>
    <x v="1"/>
    <m/>
  </r>
  <r>
    <x v="193"/>
    <x v="1"/>
    <n v="1"/>
    <s v="May"/>
    <s v="Germany"/>
    <n v="2"/>
    <n v="0"/>
    <n v="0"/>
    <n v="1"/>
    <n v="3"/>
    <n v="304.64999999999998"/>
    <x v="1"/>
    <m/>
  </r>
  <r>
    <x v="194"/>
    <x v="0"/>
    <n v="0"/>
    <s v="September"/>
    <s v="India"/>
    <n v="2"/>
    <n v="0"/>
    <n v="0"/>
    <n v="1"/>
    <n v="3"/>
    <n v="102.75"/>
    <x v="0"/>
    <m/>
  </r>
  <r>
    <x v="195"/>
    <x v="0"/>
    <n v="0"/>
    <s v="June"/>
    <s v="Australia"/>
    <n v="3"/>
    <n v="0"/>
    <n v="0"/>
    <n v="2"/>
    <n v="6"/>
    <n v="116.23"/>
    <x v="0"/>
    <m/>
  </r>
  <r>
    <x v="196"/>
    <x v="0"/>
    <n v="0"/>
    <s v="June"/>
    <s v="USA"/>
    <n v="2"/>
    <n v="0"/>
    <n v="0"/>
    <n v="1"/>
    <n v="6"/>
    <n v="93.13"/>
    <x v="0"/>
    <m/>
  </r>
  <r>
    <x v="197"/>
    <x v="0"/>
    <n v="0"/>
    <s v="October"/>
    <s v="India"/>
    <n v="2"/>
    <n v="1"/>
    <n v="0"/>
    <n v="3"/>
    <n v="6"/>
    <n v="235.03"/>
    <x v="0"/>
    <m/>
  </r>
  <r>
    <x v="198"/>
    <x v="0"/>
    <n v="0"/>
    <s v="August"/>
    <s v="India"/>
    <n v="2"/>
    <n v="1"/>
    <n v="0"/>
    <n v="3"/>
    <n v="6"/>
    <n v="157.69"/>
    <x v="0"/>
    <m/>
  </r>
  <r>
    <x v="199"/>
    <x v="1"/>
    <n v="0"/>
    <s v="January"/>
    <s v="South Africa"/>
    <n v="3"/>
    <n v="0"/>
    <n v="0"/>
    <n v="3"/>
    <n v="3"/>
    <n v="74.930000000000007"/>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A65CBD-CC17-4BFC-9676-470D69C36C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ountry">
  <location ref="D3:E14" firstHeaderRow="1" firstDataRow="1" firstDataCol="1"/>
  <pivotFields count="11">
    <pivotField dataField="1" showAll="0"/>
    <pivotField showAll="0">
      <items count="3">
        <item x="0"/>
        <item x="1"/>
        <item t="default"/>
      </items>
    </pivotField>
    <pivotField showAll="0">
      <items count="3">
        <item x="0"/>
        <item x="1"/>
        <item t="default"/>
      </items>
    </pivotField>
    <pivotField showAll="0"/>
    <pivotField axis="axisRow" showAll="0">
      <items count="11">
        <item x="8"/>
        <item x="4"/>
        <item x="6"/>
        <item x="3"/>
        <item x="9"/>
        <item x="2"/>
        <item x="5"/>
        <item x="7"/>
        <item x="1"/>
        <item x="0"/>
        <item t="default"/>
      </items>
    </pivotField>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Booking_ID" fld="0" subtotal="count" baseField="4" baseItem="0"/>
  </dataFields>
  <chartFormats count="3">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B35F99-717E-4D4D-8D94-98795509A1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rrival_month">
  <location ref="A14:B27" firstHeaderRow="1" firstDataRow="1" firstDataCol="1"/>
  <pivotFields count="11">
    <pivotField dataField="1" showAll="0"/>
    <pivotField showAll="0">
      <items count="3">
        <item x="0"/>
        <item x="1"/>
        <item t="default"/>
      </items>
    </pivotField>
    <pivotField showAll="0"/>
    <pivotField axis="axisRow" showAll="0" sortType="ascending">
      <items count="13">
        <item x="5"/>
        <item x="9"/>
        <item x="1"/>
        <item x="10"/>
        <item x="2"/>
        <item x="6"/>
        <item x="0"/>
        <item x="4"/>
        <item x="8"/>
        <item x="3"/>
        <item x="7"/>
        <item x="11"/>
        <item t="default"/>
      </items>
    </pivotField>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Booking_ID" fld="0" subtotal="count" baseField="3" baseItem="0"/>
  </dataFields>
  <chartFormats count="3">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D645D7-3133-458A-992C-5D734C1BE1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s_cancelled">
  <location ref="A9:B12" firstHeaderRow="1" firstDataRow="1" firstDataCol="1"/>
  <pivotFields count="11">
    <pivotField dataField="1"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Booking_ID" fld="0" subtotal="count" baseField="2" baseItem="0"/>
  </dataFields>
  <chartFormats count="3">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 count="1" selected="0">
            <x v="0"/>
          </reference>
        </references>
      </pivotArea>
    </chartFormat>
    <chartFormat chart="7" format="1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C6FD2C-F635-410C-9D83-DE870F170C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Hotel">
  <location ref="A3:B6" firstHeaderRow="1" firstDataRow="1" firstDataCol="1"/>
  <pivotFields count="11">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Booking_ID" fld="0" subtotal="count" baseField="1" baseItem="0"/>
  </dataFields>
  <chartFormats count="2">
    <chartFormat chart="13" format="6"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C9FCA9-0D70-4605-90F9-9E4C82CF362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Hotel">
  <location ref="D16:E19" firstHeaderRow="1" firstDataRow="1" firstDataCol="1"/>
  <pivotFields count="13">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3">
    <i>
      <x/>
    </i>
    <i>
      <x v="1"/>
    </i>
    <i t="grand">
      <x/>
    </i>
  </rowItems>
  <colItems count="1">
    <i/>
  </colItems>
  <dataFields count="1">
    <dataField name="Sum of ADR" fld="10"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C4814-7951-48CD-8802-469C003A32B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2:F203" firstHeaderRow="1" firstDataRow="1" firstDataCol="1"/>
  <pivotFields count="13">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Count of Cancellation_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C64832-AF10-44D2-9D3B-64EF653A740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9:L22"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11"/>
  </rowFields>
  <rowItems count="3">
    <i>
      <x/>
    </i>
    <i>
      <x v="1"/>
    </i>
    <i t="grand">
      <x/>
    </i>
  </rowItems>
  <colItems count="1">
    <i/>
  </colItems>
  <dataFields count="1">
    <dataField name="Count of Booking_ID" fld="0" subtotal="count"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0"/>
          </reference>
        </references>
      </pivotArea>
    </chartFormat>
    <chartFormat chart="1"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C89839-AFFB-4695-9D46-453B2F80279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203" firstHeaderRow="1" firstDataRow="1" firstDataCol="1"/>
  <pivotFields count="13">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Count of Cancellation_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 xr10:uid="{E0143C02-40CA-4B24-9CBD-2FC42910C124}" sourceName="Hotel">
  <pivotTables>
    <pivotTable tabId="2" name="PivotTable5"/>
    <pivotTable tabId="2" name="PivotTable6"/>
    <pivotTable tabId="2" name="PivotTable7"/>
    <pivotTable tabId="2" name="PivotTable8"/>
  </pivotTables>
  <data>
    <tabular pivotCacheId="3319761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Canceled" xr10:uid="{BB872157-189C-4DA6-8B67-C73C588E2429}" sourceName="Is_Canceled">
  <pivotTables>
    <pivotTable tabId="2" name="PivotTable8"/>
  </pivotTables>
  <data>
    <tabular pivotCacheId="3319761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xr10:uid="{44A50F04-96D9-4CE4-8A89-92B3CA2ACA20}" cache="Slicer_Hotel" caption="Hotel" style="SlicerStyleLight3" rowHeight="241300"/>
  <slicer name="Is_Canceled" xr10:uid="{B53B9725-A7AF-40CB-B1FE-3A911BBDF7CD}" cache="Slicer_Is_Canceled" caption="Is_Canceled"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6994BB-BA1E-48F3-AC39-E25258A971EC}" name="Table1" displayName="Table1" ref="A1:M201" totalsRowShown="0">
  <autoFilter ref="A1:M201" xr:uid="{C56994BB-BA1E-48F3-AC39-E25258A971EC}">
    <filterColumn colId="2">
      <filters>
        <filter val="1"/>
      </filters>
    </filterColumn>
  </autoFilter>
  <tableColumns count="13">
    <tableColumn id="1" xr3:uid="{EF4B1E94-D8AA-4A33-A22F-E67C765DFBCF}" name="Booking_ID"/>
    <tableColumn id="2" xr3:uid="{BD6F3A0C-26D0-407A-8950-4F83D3195A35}" name="Hotel"/>
    <tableColumn id="3" xr3:uid="{88AEF951-7CDF-4716-A91D-55A8CB3DBBA0}" name="Is_Canceled"/>
    <tableColumn id="4" xr3:uid="{3B224492-E819-46E7-96DD-751A51001B4D}" name="Arrival_Date_Month"/>
    <tableColumn id="5" xr3:uid="{0FAF9259-7520-4BAA-BDC0-693D14BA79ED}" name="Country"/>
    <tableColumn id="6" xr3:uid="{9EA03DAF-20FF-48E3-B93D-4D160B7B0619}" name="Adults"/>
    <tableColumn id="7" xr3:uid="{242CDFCF-FF2A-425A-9357-446B3CAB84D7}" name="Children"/>
    <tableColumn id="8" xr3:uid="{6BDF47B0-C38C-4826-84E4-F7658231ACBC}" name="Babies"/>
    <tableColumn id="9" xr3:uid="{45625E42-627C-4A22-BB62-A6C60A1D673C}" name="Stays_Weekend_Nights"/>
    <tableColumn id="10" xr3:uid="{8FEB4E7C-18F7-4CEF-8A53-F98270415B34}" name="Stays_Week_Nights"/>
    <tableColumn id="11" xr3:uid="{AF3D3DF6-D440-46FE-B508-6ABA017CABA5}" name="ADR"/>
    <tableColumn id="12" xr3:uid="{92E85563-0938-4E3F-A300-34858BC34A06}" name="Cancellation_status">
      <calculatedColumnFormula>IF(C2=1,"Cancelled","Not cancelled")</calculatedColumnFormula>
    </tableColumn>
    <tableColumn id="13" xr3:uid="{9E2C7E3A-64C1-4318-9885-CB6B5608CC3E}"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BA50-2AB4-4C03-BAD1-4BCAC1977E4A}">
  <dimension ref="A3:G27"/>
  <sheetViews>
    <sheetView workbookViewId="0">
      <selection activeCell="A3" sqref="A3:B6"/>
    </sheetView>
  </sheetViews>
  <sheetFormatPr defaultRowHeight="15" x14ac:dyDescent="0.25"/>
  <cols>
    <col min="1" max="1" width="16.140625" bestFit="1" customWidth="1"/>
    <col min="2" max="2" width="19.28515625" bestFit="1" customWidth="1"/>
    <col min="4" max="4" width="11.7109375" bestFit="1" customWidth="1"/>
    <col min="5" max="5" width="19.28515625" bestFit="1" customWidth="1"/>
  </cols>
  <sheetData>
    <row r="3" spans="1:7" x14ac:dyDescent="0.25">
      <c r="A3" s="1" t="s">
        <v>1</v>
      </c>
      <c r="B3" t="s">
        <v>36</v>
      </c>
      <c r="D3" s="1" t="s">
        <v>4</v>
      </c>
      <c r="E3" t="s">
        <v>36</v>
      </c>
    </row>
    <row r="4" spans="1:7" x14ac:dyDescent="0.25">
      <c r="A4" s="2" t="s">
        <v>11</v>
      </c>
      <c r="B4">
        <v>140</v>
      </c>
      <c r="D4" s="2" t="s">
        <v>31</v>
      </c>
      <c r="E4">
        <v>7</v>
      </c>
    </row>
    <row r="5" spans="1:7" x14ac:dyDescent="0.25">
      <c r="A5" s="2" t="s">
        <v>23</v>
      </c>
      <c r="B5">
        <v>60</v>
      </c>
      <c r="D5" s="2" t="s">
        <v>21</v>
      </c>
      <c r="E5">
        <v>12</v>
      </c>
    </row>
    <row r="6" spans="1:7" x14ac:dyDescent="0.25">
      <c r="A6" s="2" t="s">
        <v>35</v>
      </c>
      <c r="B6">
        <v>200</v>
      </c>
      <c r="D6" s="2" t="s">
        <v>25</v>
      </c>
      <c r="E6">
        <v>10</v>
      </c>
    </row>
    <row r="7" spans="1:7" x14ac:dyDescent="0.25">
      <c r="D7" s="2" t="s">
        <v>20</v>
      </c>
      <c r="E7">
        <v>12</v>
      </c>
    </row>
    <row r="8" spans="1:7" x14ac:dyDescent="0.25">
      <c r="D8" s="2" t="s">
        <v>34</v>
      </c>
      <c r="E8">
        <v>8</v>
      </c>
    </row>
    <row r="9" spans="1:7" x14ac:dyDescent="0.25">
      <c r="A9" s="1" t="s">
        <v>40</v>
      </c>
      <c r="B9" t="s">
        <v>36</v>
      </c>
      <c r="D9" s="2" t="s">
        <v>17</v>
      </c>
      <c r="E9">
        <v>73</v>
      </c>
      <c r="G9" s="10"/>
    </row>
    <row r="10" spans="1:7" x14ac:dyDescent="0.25">
      <c r="A10" s="2">
        <v>0</v>
      </c>
      <c r="B10">
        <v>155</v>
      </c>
      <c r="D10" s="2" t="s">
        <v>24</v>
      </c>
      <c r="E10">
        <v>5</v>
      </c>
      <c r="G10" s="11"/>
    </row>
    <row r="11" spans="1:7" x14ac:dyDescent="0.25">
      <c r="A11" s="2">
        <v>1</v>
      </c>
      <c r="B11">
        <v>45</v>
      </c>
      <c r="D11" s="2" t="s">
        <v>29</v>
      </c>
      <c r="E11">
        <v>17</v>
      </c>
      <c r="G11" s="9"/>
    </row>
    <row r="12" spans="1:7" x14ac:dyDescent="0.25">
      <c r="A12" s="2" t="s">
        <v>35</v>
      </c>
      <c r="B12">
        <v>200</v>
      </c>
      <c r="D12" s="2" t="s">
        <v>15</v>
      </c>
      <c r="E12">
        <v>23</v>
      </c>
      <c r="G12" s="12"/>
    </row>
    <row r="13" spans="1:7" x14ac:dyDescent="0.25">
      <c r="D13" s="2" t="s">
        <v>13</v>
      </c>
      <c r="E13">
        <v>33</v>
      </c>
      <c r="G13" s="13"/>
    </row>
    <row r="14" spans="1:7" x14ac:dyDescent="0.25">
      <c r="A14" s="1" t="s">
        <v>41</v>
      </c>
      <c r="B14" t="s">
        <v>36</v>
      </c>
      <c r="D14" s="2" t="s">
        <v>35</v>
      </c>
      <c r="E14">
        <v>200</v>
      </c>
    </row>
    <row r="15" spans="1:7" x14ac:dyDescent="0.25">
      <c r="A15" s="2" t="s">
        <v>22</v>
      </c>
      <c r="B15">
        <v>13</v>
      </c>
    </row>
    <row r="16" spans="1:7" x14ac:dyDescent="0.25">
      <c r="A16" s="2" t="s">
        <v>30</v>
      </c>
      <c r="B16">
        <v>9</v>
      </c>
      <c r="D16" s="1" t="s">
        <v>1</v>
      </c>
      <c r="E16" t="s">
        <v>39</v>
      </c>
    </row>
    <row r="17" spans="1:5" x14ac:dyDescent="0.25">
      <c r="A17" s="2" t="s">
        <v>14</v>
      </c>
      <c r="B17">
        <v>11</v>
      </c>
      <c r="D17" s="2" t="s">
        <v>11</v>
      </c>
      <c r="E17">
        <v>25088.880000000012</v>
      </c>
    </row>
    <row r="18" spans="1:5" x14ac:dyDescent="0.25">
      <c r="A18" s="2" t="s">
        <v>32</v>
      </c>
      <c r="B18">
        <v>11</v>
      </c>
      <c r="D18" s="2" t="s">
        <v>23</v>
      </c>
      <c r="E18">
        <v>11976.580000000004</v>
      </c>
    </row>
    <row r="19" spans="1:5" x14ac:dyDescent="0.25">
      <c r="A19" s="2" t="s">
        <v>16</v>
      </c>
      <c r="B19">
        <v>17</v>
      </c>
      <c r="D19" s="2" t="s">
        <v>35</v>
      </c>
      <c r="E19">
        <v>37065.460000000014</v>
      </c>
    </row>
    <row r="20" spans="1:5" x14ac:dyDescent="0.25">
      <c r="A20" s="2" t="s">
        <v>26</v>
      </c>
      <c r="B20">
        <v>22</v>
      </c>
    </row>
    <row r="21" spans="1:5" x14ac:dyDescent="0.25">
      <c r="A21" s="2" t="s">
        <v>12</v>
      </c>
      <c r="B21">
        <v>37</v>
      </c>
    </row>
    <row r="22" spans="1:5" x14ac:dyDescent="0.25">
      <c r="A22" s="2" t="s">
        <v>19</v>
      </c>
      <c r="B22">
        <v>25</v>
      </c>
    </row>
    <row r="23" spans="1:5" x14ac:dyDescent="0.25">
      <c r="A23" s="2" t="s">
        <v>28</v>
      </c>
      <c r="B23">
        <v>21</v>
      </c>
    </row>
    <row r="24" spans="1:5" x14ac:dyDescent="0.25">
      <c r="A24" s="2" t="s">
        <v>18</v>
      </c>
      <c r="B24">
        <v>20</v>
      </c>
    </row>
    <row r="25" spans="1:5" x14ac:dyDescent="0.25">
      <c r="A25" s="2" t="s">
        <v>27</v>
      </c>
      <c r="B25">
        <v>11</v>
      </c>
    </row>
    <row r="26" spans="1:5" x14ac:dyDescent="0.25">
      <c r="A26" s="2" t="s">
        <v>33</v>
      </c>
      <c r="B26">
        <v>3</v>
      </c>
    </row>
    <row r="27" spans="1:5" x14ac:dyDescent="0.25">
      <c r="A27" s="2" t="s">
        <v>35</v>
      </c>
      <c r="B27">
        <v>200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ECD9-BF72-4BDA-8D22-4DB805FF7BF4}">
  <dimension ref="A1:L203"/>
  <sheetViews>
    <sheetView topLeftCell="F21" workbookViewId="0">
      <selection activeCell="M38" sqref="M38"/>
    </sheetView>
  </sheetViews>
  <sheetFormatPr defaultRowHeight="15" x14ac:dyDescent="0.25"/>
  <cols>
    <col min="5" max="5" width="13.140625" bestFit="1" customWidth="1"/>
    <col min="6" max="6" width="26.85546875" bestFit="1" customWidth="1"/>
    <col min="8" max="8" width="13.140625" bestFit="1" customWidth="1"/>
    <col min="9" max="9" width="26.85546875" bestFit="1" customWidth="1"/>
    <col min="11" max="11" width="13.28515625" bestFit="1" customWidth="1"/>
    <col min="12" max="12" width="19.28515625" bestFit="1" customWidth="1"/>
  </cols>
  <sheetData>
    <row r="1" spans="1:9" x14ac:dyDescent="0.25">
      <c r="A1" s="3"/>
      <c r="B1" s="4"/>
      <c r="C1" s="5"/>
    </row>
    <row r="2" spans="1:9" ht="15.75" x14ac:dyDescent="0.25">
      <c r="A2" s="14" t="s">
        <v>42</v>
      </c>
      <c r="B2" s="15"/>
      <c r="C2" s="15"/>
      <c r="E2" s="1" t="s">
        <v>43</v>
      </c>
      <c r="F2" t="s">
        <v>44</v>
      </c>
      <c r="H2" s="1" t="s">
        <v>43</v>
      </c>
      <c r="I2" t="s">
        <v>44</v>
      </c>
    </row>
    <row r="3" spans="1:9" x14ac:dyDescent="0.25">
      <c r="A3" s="16">
        <f>COUNTA('Hotel Bookings'!A:A)-1</f>
        <v>200</v>
      </c>
      <c r="B3" s="17"/>
      <c r="C3" s="17"/>
      <c r="E3" s="2">
        <v>1001</v>
      </c>
      <c r="F3">
        <v>1</v>
      </c>
      <c r="H3" s="2">
        <v>1001</v>
      </c>
      <c r="I3">
        <v>1</v>
      </c>
    </row>
    <row r="4" spans="1:9" ht="15.75" thickBot="1" x14ac:dyDescent="0.3">
      <c r="A4" s="6"/>
      <c r="B4" s="7"/>
      <c r="C4" s="8"/>
      <c r="E4" s="2">
        <v>1002</v>
      </c>
      <c r="F4">
        <v>1</v>
      </c>
      <c r="H4" s="2">
        <v>1002</v>
      </c>
      <c r="I4">
        <v>1</v>
      </c>
    </row>
    <row r="5" spans="1:9" x14ac:dyDescent="0.25">
      <c r="E5" s="2">
        <v>1003</v>
      </c>
      <c r="F5">
        <v>1</v>
      </c>
      <c r="H5" s="2">
        <v>1003</v>
      </c>
      <c r="I5">
        <v>1</v>
      </c>
    </row>
    <row r="6" spans="1:9" x14ac:dyDescent="0.25">
      <c r="E6" s="2">
        <v>1004</v>
      </c>
      <c r="F6">
        <v>1</v>
      </c>
      <c r="H6" s="2">
        <v>1004</v>
      </c>
      <c r="I6">
        <v>1</v>
      </c>
    </row>
    <row r="7" spans="1:9" x14ac:dyDescent="0.25">
      <c r="E7" s="2">
        <v>1005</v>
      </c>
      <c r="F7">
        <v>1</v>
      </c>
      <c r="H7" s="2">
        <v>1005</v>
      </c>
      <c r="I7">
        <v>1</v>
      </c>
    </row>
    <row r="8" spans="1:9" x14ac:dyDescent="0.25">
      <c r="E8" s="2">
        <v>1006</v>
      </c>
      <c r="F8">
        <v>1</v>
      </c>
      <c r="H8" s="2">
        <v>1006</v>
      </c>
      <c r="I8">
        <v>1</v>
      </c>
    </row>
    <row r="9" spans="1:9" x14ac:dyDescent="0.25">
      <c r="E9" s="2">
        <v>1007</v>
      </c>
      <c r="F9">
        <v>1</v>
      </c>
      <c r="H9" s="2">
        <v>1007</v>
      </c>
      <c r="I9">
        <v>1</v>
      </c>
    </row>
    <row r="10" spans="1:9" x14ac:dyDescent="0.25">
      <c r="E10" s="2">
        <v>1008</v>
      </c>
      <c r="F10">
        <v>1</v>
      </c>
      <c r="H10" s="2">
        <v>1008</v>
      </c>
      <c r="I10">
        <v>1</v>
      </c>
    </row>
    <row r="11" spans="1:9" x14ac:dyDescent="0.25">
      <c r="E11" s="2">
        <v>1009</v>
      </c>
      <c r="F11">
        <v>1</v>
      </c>
      <c r="H11" s="2">
        <v>1009</v>
      </c>
      <c r="I11">
        <v>1</v>
      </c>
    </row>
    <row r="12" spans="1:9" x14ac:dyDescent="0.25">
      <c r="E12" s="2">
        <v>1010</v>
      </c>
      <c r="F12">
        <v>1</v>
      </c>
      <c r="H12" s="2">
        <v>1010</v>
      </c>
      <c r="I12">
        <v>1</v>
      </c>
    </row>
    <row r="13" spans="1:9" x14ac:dyDescent="0.25">
      <c r="E13" s="2">
        <v>1011</v>
      </c>
      <c r="F13">
        <v>1</v>
      </c>
      <c r="H13" s="2">
        <v>1011</v>
      </c>
      <c r="I13">
        <v>1</v>
      </c>
    </row>
    <row r="14" spans="1:9" x14ac:dyDescent="0.25">
      <c r="E14" s="2">
        <v>1012</v>
      </c>
      <c r="F14">
        <v>1</v>
      </c>
      <c r="H14" s="2">
        <v>1012</v>
      </c>
      <c r="I14">
        <v>1</v>
      </c>
    </row>
    <row r="15" spans="1:9" x14ac:dyDescent="0.25">
      <c r="E15" s="2">
        <v>1013</v>
      </c>
      <c r="F15">
        <v>1</v>
      </c>
      <c r="H15" s="2">
        <v>1013</v>
      </c>
      <c r="I15">
        <v>1</v>
      </c>
    </row>
    <row r="16" spans="1:9" x14ac:dyDescent="0.25">
      <c r="E16" s="2">
        <v>1014</v>
      </c>
      <c r="F16">
        <v>1</v>
      </c>
      <c r="H16" s="2">
        <v>1014</v>
      </c>
      <c r="I16">
        <v>1</v>
      </c>
    </row>
    <row r="17" spans="5:12" x14ac:dyDescent="0.25">
      <c r="E17" s="2">
        <v>1015</v>
      </c>
      <c r="F17">
        <v>1</v>
      </c>
      <c r="H17" s="2">
        <v>1015</v>
      </c>
      <c r="I17">
        <v>1</v>
      </c>
    </row>
    <row r="18" spans="5:12" x14ac:dyDescent="0.25">
      <c r="E18" s="2">
        <v>1016</v>
      </c>
      <c r="F18">
        <v>1</v>
      </c>
      <c r="H18" s="2">
        <v>1016</v>
      </c>
      <c r="I18">
        <v>1</v>
      </c>
    </row>
    <row r="19" spans="5:12" x14ac:dyDescent="0.25">
      <c r="E19" s="2">
        <v>1017</v>
      </c>
      <c r="F19">
        <v>1</v>
      </c>
      <c r="H19" s="2">
        <v>1017</v>
      </c>
      <c r="I19">
        <v>1</v>
      </c>
      <c r="K19" s="1" t="s">
        <v>43</v>
      </c>
      <c r="L19" t="s">
        <v>36</v>
      </c>
    </row>
    <row r="20" spans="5:12" x14ac:dyDescent="0.25">
      <c r="E20" s="2">
        <v>1018</v>
      </c>
      <c r="F20">
        <v>1</v>
      </c>
      <c r="H20" s="2">
        <v>1018</v>
      </c>
      <c r="I20">
        <v>1</v>
      </c>
      <c r="K20" s="2" t="s">
        <v>45</v>
      </c>
      <c r="L20">
        <v>45</v>
      </c>
    </row>
    <row r="21" spans="5:12" x14ac:dyDescent="0.25">
      <c r="E21" s="2">
        <v>1019</v>
      </c>
      <c r="F21">
        <v>1</v>
      </c>
      <c r="H21" s="2">
        <v>1019</v>
      </c>
      <c r="I21">
        <v>1</v>
      </c>
      <c r="K21" s="2" t="s">
        <v>46</v>
      </c>
      <c r="L21">
        <v>155</v>
      </c>
    </row>
    <row r="22" spans="5:12" x14ac:dyDescent="0.25">
      <c r="E22" s="2">
        <v>1020</v>
      </c>
      <c r="F22">
        <v>1</v>
      </c>
      <c r="H22" s="2">
        <v>1020</v>
      </c>
      <c r="I22">
        <v>1</v>
      </c>
      <c r="K22" s="2" t="s">
        <v>35</v>
      </c>
      <c r="L22">
        <v>200</v>
      </c>
    </row>
    <row r="23" spans="5:12" x14ac:dyDescent="0.25">
      <c r="E23" s="2">
        <v>1021</v>
      </c>
      <c r="F23">
        <v>1</v>
      </c>
      <c r="H23" s="2">
        <v>1021</v>
      </c>
      <c r="I23">
        <v>1</v>
      </c>
    </row>
    <row r="24" spans="5:12" x14ac:dyDescent="0.25">
      <c r="E24" s="2">
        <v>1022</v>
      </c>
      <c r="F24">
        <v>1</v>
      </c>
      <c r="H24" s="2">
        <v>1022</v>
      </c>
      <c r="I24">
        <v>1</v>
      </c>
    </row>
    <row r="25" spans="5:12" x14ac:dyDescent="0.25">
      <c r="E25" s="2">
        <v>1023</v>
      </c>
      <c r="F25">
        <v>1</v>
      </c>
      <c r="H25" s="2">
        <v>1023</v>
      </c>
      <c r="I25">
        <v>1</v>
      </c>
    </row>
    <row r="26" spans="5:12" x14ac:dyDescent="0.25">
      <c r="E26" s="2">
        <v>1024</v>
      </c>
      <c r="F26">
        <v>1</v>
      </c>
      <c r="H26" s="2">
        <v>1024</v>
      </c>
      <c r="I26">
        <v>1</v>
      </c>
    </row>
    <row r="27" spans="5:12" x14ac:dyDescent="0.25">
      <c r="E27" s="2">
        <v>1025</v>
      </c>
      <c r="F27">
        <v>1</v>
      </c>
      <c r="H27" s="2">
        <v>1025</v>
      </c>
      <c r="I27">
        <v>1</v>
      </c>
    </row>
    <row r="28" spans="5:12" x14ac:dyDescent="0.25">
      <c r="E28" s="2">
        <v>1026</v>
      </c>
      <c r="F28">
        <v>1</v>
      </c>
      <c r="H28" s="2">
        <v>1026</v>
      </c>
      <c r="I28">
        <v>1</v>
      </c>
    </row>
    <row r="29" spans="5:12" x14ac:dyDescent="0.25">
      <c r="E29" s="2">
        <v>1027</v>
      </c>
      <c r="F29">
        <v>1</v>
      </c>
      <c r="H29" s="2">
        <v>1027</v>
      </c>
      <c r="I29">
        <v>1</v>
      </c>
    </row>
    <row r="30" spans="5:12" x14ac:dyDescent="0.25">
      <c r="E30" s="2">
        <v>1028</v>
      </c>
      <c r="F30">
        <v>1</v>
      </c>
      <c r="H30" s="2">
        <v>1028</v>
      </c>
      <c r="I30">
        <v>1</v>
      </c>
    </row>
    <row r="31" spans="5:12" x14ac:dyDescent="0.25">
      <c r="E31" s="2">
        <v>1029</v>
      </c>
      <c r="F31">
        <v>1</v>
      </c>
      <c r="H31" s="2">
        <v>1029</v>
      </c>
      <c r="I31">
        <v>1</v>
      </c>
    </row>
    <row r="32" spans="5:12" x14ac:dyDescent="0.25">
      <c r="E32" s="2">
        <v>1030</v>
      </c>
      <c r="F32">
        <v>1</v>
      </c>
      <c r="H32" s="2">
        <v>1030</v>
      </c>
      <c r="I32">
        <v>1</v>
      </c>
    </row>
    <row r="33" spans="5:9" x14ac:dyDescent="0.25">
      <c r="E33" s="2">
        <v>1031</v>
      </c>
      <c r="F33">
        <v>1</v>
      </c>
      <c r="H33" s="2">
        <v>1031</v>
      </c>
      <c r="I33">
        <v>1</v>
      </c>
    </row>
    <row r="34" spans="5:9" x14ac:dyDescent="0.25">
      <c r="E34" s="2">
        <v>1032</v>
      </c>
      <c r="F34">
        <v>1</v>
      </c>
      <c r="H34" s="2">
        <v>1032</v>
      </c>
      <c r="I34">
        <v>1</v>
      </c>
    </row>
    <row r="35" spans="5:9" x14ac:dyDescent="0.25">
      <c r="E35" s="2">
        <v>1033</v>
      </c>
      <c r="F35">
        <v>1</v>
      </c>
      <c r="H35" s="2">
        <v>1033</v>
      </c>
      <c r="I35">
        <v>1</v>
      </c>
    </row>
    <row r="36" spans="5:9" x14ac:dyDescent="0.25">
      <c r="E36" s="2">
        <v>1034</v>
      </c>
      <c r="F36">
        <v>1</v>
      </c>
      <c r="H36" s="2">
        <v>1034</v>
      </c>
      <c r="I36">
        <v>1</v>
      </c>
    </row>
    <row r="37" spans="5:9" x14ac:dyDescent="0.25">
      <c r="E37" s="2">
        <v>1035</v>
      </c>
      <c r="F37">
        <v>1</v>
      </c>
      <c r="H37" s="2">
        <v>1035</v>
      </c>
      <c r="I37">
        <v>1</v>
      </c>
    </row>
    <row r="38" spans="5:9" x14ac:dyDescent="0.25">
      <c r="E38" s="2">
        <v>1036</v>
      </c>
      <c r="F38">
        <v>1</v>
      </c>
      <c r="H38" s="2">
        <v>1036</v>
      </c>
      <c r="I38">
        <v>1</v>
      </c>
    </row>
    <row r="39" spans="5:9" x14ac:dyDescent="0.25">
      <c r="E39" s="2">
        <v>1037</v>
      </c>
      <c r="F39">
        <v>1</v>
      </c>
      <c r="H39" s="2">
        <v>1037</v>
      </c>
      <c r="I39">
        <v>1</v>
      </c>
    </row>
    <row r="40" spans="5:9" x14ac:dyDescent="0.25">
      <c r="E40" s="2">
        <v>1038</v>
      </c>
      <c r="F40">
        <v>1</v>
      </c>
      <c r="H40" s="2">
        <v>1038</v>
      </c>
      <c r="I40">
        <v>1</v>
      </c>
    </row>
    <row r="41" spans="5:9" x14ac:dyDescent="0.25">
      <c r="E41" s="2">
        <v>1039</v>
      </c>
      <c r="F41">
        <v>1</v>
      </c>
      <c r="H41" s="2">
        <v>1039</v>
      </c>
      <c r="I41">
        <v>1</v>
      </c>
    </row>
    <row r="42" spans="5:9" x14ac:dyDescent="0.25">
      <c r="E42" s="2">
        <v>1040</v>
      </c>
      <c r="F42">
        <v>1</v>
      </c>
      <c r="H42" s="2">
        <v>1040</v>
      </c>
      <c r="I42">
        <v>1</v>
      </c>
    </row>
    <row r="43" spans="5:9" x14ac:dyDescent="0.25">
      <c r="E43" s="2">
        <v>1041</v>
      </c>
      <c r="F43">
        <v>1</v>
      </c>
      <c r="H43" s="2">
        <v>1041</v>
      </c>
      <c r="I43">
        <v>1</v>
      </c>
    </row>
    <row r="44" spans="5:9" x14ac:dyDescent="0.25">
      <c r="E44" s="2">
        <v>1042</v>
      </c>
      <c r="F44">
        <v>1</v>
      </c>
      <c r="H44" s="2">
        <v>1042</v>
      </c>
      <c r="I44">
        <v>1</v>
      </c>
    </row>
    <row r="45" spans="5:9" x14ac:dyDescent="0.25">
      <c r="E45" s="2">
        <v>1043</v>
      </c>
      <c r="F45">
        <v>1</v>
      </c>
      <c r="H45" s="2">
        <v>1043</v>
      </c>
      <c r="I45">
        <v>1</v>
      </c>
    </row>
    <row r="46" spans="5:9" x14ac:dyDescent="0.25">
      <c r="E46" s="2">
        <v>1044</v>
      </c>
      <c r="F46">
        <v>1</v>
      </c>
      <c r="H46" s="2">
        <v>1044</v>
      </c>
      <c r="I46">
        <v>1</v>
      </c>
    </row>
    <row r="47" spans="5:9" x14ac:dyDescent="0.25">
      <c r="E47" s="2">
        <v>1045</v>
      </c>
      <c r="F47">
        <v>1</v>
      </c>
      <c r="H47" s="2">
        <v>1045</v>
      </c>
      <c r="I47">
        <v>1</v>
      </c>
    </row>
    <row r="48" spans="5:9" x14ac:dyDescent="0.25">
      <c r="E48" s="2">
        <v>1046</v>
      </c>
      <c r="F48">
        <v>1</v>
      </c>
      <c r="H48" s="2">
        <v>1046</v>
      </c>
      <c r="I48">
        <v>1</v>
      </c>
    </row>
    <row r="49" spans="5:9" x14ac:dyDescent="0.25">
      <c r="E49" s="2">
        <v>1047</v>
      </c>
      <c r="F49">
        <v>1</v>
      </c>
      <c r="H49" s="2">
        <v>1047</v>
      </c>
      <c r="I49">
        <v>1</v>
      </c>
    </row>
    <row r="50" spans="5:9" x14ac:dyDescent="0.25">
      <c r="E50" s="2">
        <v>1048</v>
      </c>
      <c r="F50">
        <v>1</v>
      </c>
      <c r="H50" s="2">
        <v>1048</v>
      </c>
      <c r="I50">
        <v>1</v>
      </c>
    </row>
    <row r="51" spans="5:9" x14ac:dyDescent="0.25">
      <c r="E51" s="2">
        <v>1049</v>
      </c>
      <c r="F51">
        <v>1</v>
      </c>
      <c r="H51" s="2">
        <v>1049</v>
      </c>
      <c r="I51">
        <v>1</v>
      </c>
    </row>
    <row r="52" spans="5:9" x14ac:dyDescent="0.25">
      <c r="E52" s="2">
        <v>1050</v>
      </c>
      <c r="F52">
        <v>1</v>
      </c>
      <c r="H52" s="2">
        <v>1050</v>
      </c>
      <c r="I52">
        <v>1</v>
      </c>
    </row>
    <row r="53" spans="5:9" x14ac:dyDescent="0.25">
      <c r="E53" s="2">
        <v>1051</v>
      </c>
      <c r="F53">
        <v>1</v>
      </c>
      <c r="H53" s="2">
        <v>1051</v>
      </c>
      <c r="I53">
        <v>1</v>
      </c>
    </row>
    <row r="54" spans="5:9" x14ac:dyDescent="0.25">
      <c r="E54" s="2">
        <v>1052</v>
      </c>
      <c r="F54">
        <v>1</v>
      </c>
      <c r="H54" s="2">
        <v>1052</v>
      </c>
      <c r="I54">
        <v>1</v>
      </c>
    </row>
    <row r="55" spans="5:9" x14ac:dyDescent="0.25">
      <c r="E55" s="2">
        <v>1053</v>
      </c>
      <c r="F55">
        <v>1</v>
      </c>
      <c r="H55" s="2">
        <v>1053</v>
      </c>
      <c r="I55">
        <v>1</v>
      </c>
    </row>
    <row r="56" spans="5:9" x14ac:dyDescent="0.25">
      <c r="E56" s="2">
        <v>1054</v>
      </c>
      <c r="F56">
        <v>1</v>
      </c>
      <c r="H56" s="2">
        <v>1054</v>
      </c>
      <c r="I56">
        <v>1</v>
      </c>
    </row>
    <row r="57" spans="5:9" x14ac:dyDescent="0.25">
      <c r="E57" s="2">
        <v>1055</v>
      </c>
      <c r="F57">
        <v>1</v>
      </c>
      <c r="H57" s="2">
        <v>1055</v>
      </c>
      <c r="I57">
        <v>1</v>
      </c>
    </row>
    <row r="58" spans="5:9" x14ac:dyDescent="0.25">
      <c r="E58" s="2">
        <v>1056</v>
      </c>
      <c r="F58">
        <v>1</v>
      </c>
      <c r="H58" s="2">
        <v>1056</v>
      </c>
      <c r="I58">
        <v>1</v>
      </c>
    </row>
    <row r="59" spans="5:9" x14ac:dyDescent="0.25">
      <c r="E59" s="2">
        <v>1057</v>
      </c>
      <c r="F59">
        <v>1</v>
      </c>
      <c r="H59" s="2">
        <v>1057</v>
      </c>
      <c r="I59">
        <v>1</v>
      </c>
    </row>
    <row r="60" spans="5:9" x14ac:dyDescent="0.25">
      <c r="E60" s="2">
        <v>1058</v>
      </c>
      <c r="F60">
        <v>1</v>
      </c>
      <c r="H60" s="2">
        <v>1058</v>
      </c>
      <c r="I60">
        <v>1</v>
      </c>
    </row>
    <row r="61" spans="5:9" x14ac:dyDescent="0.25">
      <c r="E61" s="2">
        <v>1059</v>
      </c>
      <c r="F61">
        <v>1</v>
      </c>
      <c r="H61" s="2">
        <v>1059</v>
      </c>
      <c r="I61">
        <v>1</v>
      </c>
    </row>
    <row r="62" spans="5:9" x14ac:dyDescent="0.25">
      <c r="E62" s="2">
        <v>1060</v>
      </c>
      <c r="F62">
        <v>1</v>
      </c>
      <c r="H62" s="2">
        <v>1060</v>
      </c>
      <c r="I62">
        <v>1</v>
      </c>
    </row>
    <row r="63" spans="5:9" x14ac:dyDescent="0.25">
      <c r="E63" s="2">
        <v>1061</v>
      </c>
      <c r="F63">
        <v>1</v>
      </c>
      <c r="H63" s="2">
        <v>1061</v>
      </c>
      <c r="I63">
        <v>1</v>
      </c>
    </row>
    <row r="64" spans="5:9" x14ac:dyDescent="0.25">
      <c r="E64" s="2">
        <v>1062</v>
      </c>
      <c r="F64">
        <v>1</v>
      </c>
      <c r="H64" s="2">
        <v>1062</v>
      </c>
      <c r="I64">
        <v>1</v>
      </c>
    </row>
    <row r="65" spans="5:9" x14ac:dyDescent="0.25">
      <c r="E65" s="2">
        <v>1063</v>
      </c>
      <c r="F65">
        <v>1</v>
      </c>
      <c r="H65" s="2">
        <v>1063</v>
      </c>
      <c r="I65">
        <v>1</v>
      </c>
    </row>
    <row r="66" spans="5:9" x14ac:dyDescent="0.25">
      <c r="E66" s="2">
        <v>1064</v>
      </c>
      <c r="F66">
        <v>1</v>
      </c>
      <c r="H66" s="2">
        <v>1064</v>
      </c>
      <c r="I66">
        <v>1</v>
      </c>
    </row>
    <row r="67" spans="5:9" x14ac:dyDescent="0.25">
      <c r="E67" s="2">
        <v>1065</v>
      </c>
      <c r="F67">
        <v>1</v>
      </c>
      <c r="H67" s="2">
        <v>1065</v>
      </c>
      <c r="I67">
        <v>1</v>
      </c>
    </row>
    <row r="68" spans="5:9" x14ac:dyDescent="0.25">
      <c r="E68" s="2">
        <v>1066</v>
      </c>
      <c r="F68">
        <v>1</v>
      </c>
      <c r="H68" s="2">
        <v>1066</v>
      </c>
      <c r="I68">
        <v>1</v>
      </c>
    </row>
    <row r="69" spans="5:9" x14ac:dyDescent="0.25">
      <c r="E69" s="2">
        <v>1067</v>
      </c>
      <c r="F69">
        <v>1</v>
      </c>
      <c r="H69" s="2">
        <v>1067</v>
      </c>
      <c r="I69">
        <v>1</v>
      </c>
    </row>
    <row r="70" spans="5:9" x14ac:dyDescent="0.25">
      <c r="E70" s="2">
        <v>1068</v>
      </c>
      <c r="F70">
        <v>1</v>
      </c>
      <c r="H70" s="2">
        <v>1068</v>
      </c>
      <c r="I70">
        <v>1</v>
      </c>
    </row>
    <row r="71" spans="5:9" x14ac:dyDescent="0.25">
      <c r="E71" s="2">
        <v>1069</v>
      </c>
      <c r="F71">
        <v>1</v>
      </c>
      <c r="H71" s="2">
        <v>1069</v>
      </c>
      <c r="I71">
        <v>1</v>
      </c>
    </row>
    <row r="72" spans="5:9" x14ac:dyDescent="0.25">
      <c r="E72" s="2">
        <v>1070</v>
      </c>
      <c r="F72">
        <v>1</v>
      </c>
      <c r="H72" s="2">
        <v>1070</v>
      </c>
      <c r="I72">
        <v>1</v>
      </c>
    </row>
    <row r="73" spans="5:9" x14ac:dyDescent="0.25">
      <c r="E73" s="2">
        <v>1071</v>
      </c>
      <c r="F73">
        <v>1</v>
      </c>
      <c r="H73" s="2">
        <v>1071</v>
      </c>
      <c r="I73">
        <v>1</v>
      </c>
    </row>
    <row r="74" spans="5:9" x14ac:dyDescent="0.25">
      <c r="E74" s="2">
        <v>1072</v>
      </c>
      <c r="F74">
        <v>1</v>
      </c>
      <c r="H74" s="2">
        <v>1072</v>
      </c>
      <c r="I74">
        <v>1</v>
      </c>
    </row>
    <row r="75" spans="5:9" x14ac:dyDescent="0.25">
      <c r="E75" s="2">
        <v>1073</v>
      </c>
      <c r="F75">
        <v>1</v>
      </c>
      <c r="H75" s="2">
        <v>1073</v>
      </c>
      <c r="I75">
        <v>1</v>
      </c>
    </row>
    <row r="76" spans="5:9" x14ac:dyDescent="0.25">
      <c r="E76" s="2">
        <v>1074</v>
      </c>
      <c r="F76">
        <v>1</v>
      </c>
      <c r="H76" s="2">
        <v>1074</v>
      </c>
      <c r="I76">
        <v>1</v>
      </c>
    </row>
    <row r="77" spans="5:9" x14ac:dyDescent="0.25">
      <c r="E77" s="2">
        <v>1075</v>
      </c>
      <c r="F77">
        <v>1</v>
      </c>
      <c r="H77" s="2">
        <v>1075</v>
      </c>
      <c r="I77">
        <v>1</v>
      </c>
    </row>
    <row r="78" spans="5:9" x14ac:dyDescent="0.25">
      <c r="E78" s="2">
        <v>1076</v>
      </c>
      <c r="F78">
        <v>1</v>
      </c>
      <c r="H78" s="2">
        <v>1076</v>
      </c>
      <c r="I78">
        <v>1</v>
      </c>
    </row>
    <row r="79" spans="5:9" x14ac:dyDescent="0.25">
      <c r="E79" s="2">
        <v>1077</v>
      </c>
      <c r="F79">
        <v>1</v>
      </c>
      <c r="H79" s="2">
        <v>1077</v>
      </c>
      <c r="I79">
        <v>1</v>
      </c>
    </row>
    <row r="80" spans="5:9" x14ac:dyDescent="0.25">
      <c r="E80" s="2">
        <v>1078</v>
      </c>
      <c r="F80">
        <v>1</v>
      </c>
      <c r="H80" s="2">
        <v>1078</v>
      </c>
      <c r="I80">
        <v>1</v>
      </c>
    </row>
    <row r="81" spans="5:9" x14ac:dyDescent="0.25">
      <c r="E81" s="2">
        <v>1079</v>
      </c>
      <c r="F81">
        <v>1</v>
      </c>
      <c r="H81" s="2">
        <v>1079</v>
      </c>
      <c r="I81">
        <v>1</v>
      </c>
    </row>
    <row r="82" spans="5:9" x14ac:dyDescent="0.25">
      <c r="E82" s="2">
        <v>1080</v>
      </c>
      <c r="F82">
        <v>1</v>
      </c>
      <c r="H82" s="2">
        <v>1080</v>
      </c>
      <c r="I82">
        <v>1</v>
      </c>
    </row>
    <row r="83" spans="5:9" x14ac:dyDescent="0.25">
      <c r="E83" s="2">
        <v>1081</v>
      </c>
      <c r="F83">
        <v>1</v>
      </c>
      <c r="H83" s="2">
        <v>1081</v>
      </c>
      <c r="I83">
        <v>1</v>
      </c>
    </row>
    <row r="84" spans="5:9" x14ac:dyDescent="0.25">
      <c r="E84" s="2">
        <v>1082</v>
      </c>
      <c r="F84">
        <v>1</v>
      </c>
      <c r="H84" s="2">
        <v>1082</v>
      </c>
      <c r="I84">
        <v>1</v>
      </c>
    </row>
    <row r="85" spans="5:9" x14ac:dyDescent="0.25">
      <c r="E85" s="2">
        <v>1083</v>
      </c>
      <c r="F85">
        <v>1</v>
      </c>
      <c r="H85" s="2">
        <v>1083</v>
      </c>
      <c r="I85">
        <v>1</v>
      </c>
    </row>
    <row r="86" spans="5:9" x14ac:dyDescent="0.25">
      <c r="E86" s="2">
        <v>1084</v>
      </c>
      <c r="F86">
        <v>1</v>
      </c>
      <c r="H86" s="2">
        <v>1084</v>
      </c>
      <c r="I86">
        <v>1</v>
      </c>
    </row>
    <row r="87" spans="5:9" x14ac:dyDescent="0.25">
      <c r="E87" s="2">
        <v>1085</v>
      </c>
      <c r="F87">
        <v>1</v>
      </c>
      <c r="H87" s="2">
        <v>1085</v>
      </c>
      <c r="I87">
        <v>1</v>
      </c>
    </row>
    <row r="88" spans="5:9" x14ac:dyDescent="0.25">
      <c r="E88" s="2">
        <v>1086</v>
      </c>
      <c r="F88">
        <v>1</v>
      </c>
      <c r="H88" s="2">
        <v>1086</v>
      </c>
      <c r="I88">
        <v>1</v>
      </c>
    </row>
    <row r="89" spans="5:9" x14ac:dyDescent="0.25">
      <c r="E89" s="2">
        <v>1087</v>
      </c>
      <c r="F89">
        <v>1</v>
      </c>
      <c r="H89" s="2">
        <v>1087</v>
      </c>
      <c r="I89">
        <v>1</v>
      </c>
    </row>
    <row r="90" spans="5:9" x14ac:dyDescent="0.25">
      <c r="E90" s="2">
        <v>1088</v>
      </c>
      <c r="F90">
        <v>1</v>
      </c>
      <c r="H90" s="2">
        <v>1088</v>
      </c>
      <c r="I90">
        <v>1</v>
      </c>
    </row>
    <row r="91" spans="5:9" x14ac:dyDescent="0.25">
      <c r="E91" s="2">
        <v>1089</v>
      </c>
      <c r="F91">
        <v>1</v>
      </c>
      <c r="H91" s="2">
        <v>1089</v>
      </c>
      <c r="I91">
        <v>1</v>
      </c>
    </row>
    <row r="92" spans="5:9" x14ac:dyDescent="0.25">
      <c r="E92" s="2">
        <v>1090</v>
      </c>
      <c r="F92">
        <v>1</v>
      </c>
      <c r="H92" s="2">
        <v>1090</v>
      </c>
      <c r="I92">
        <v>1</v>
      </c>
    </row>
    <row r="93" spans="5:9" x14ac:dyDescent="0.25">
      <c r="E93" s="2">
        <v>1091</v>
      </c>
      <c r="F93">
        <v>1</v>
      </c>
      <c r="H93" s="2">
        <v>1091</v>
      </c>
      <c r="I93">
        <v>1</v>
      </c>
    </row>
    <row r="94" spans="5:9" x14ac:dyDescent="0.25">
      <c r="E94" s="2">
        <v>1092</v>
      </c>
      <c r="F94">
        <v>1</v>
      </c>
      <c r="H94" s="2">
        <v>1092</v>
      </c>
      <c r="I94">
        <v>1</v>
      </c>
    </row>
    <row r="95" spans="5:9" x14ac:dyDescent="0.25">
      <c r="E95" s="2">
        <v>1093</v>
      </c>
      <c r="F95">
        <v>1</v>
      </c>
      <c r="H95" s="2">
        <v>1093</v>
      </c>
      <c r="I95">
        <v>1</v>
      </c>
    </row>
    <row r="96" spans="5:9" x14ac:dyDescent="0.25">
      <c r="E96" s="2">
        <v>1094</v>
      </c>
      <c r="F96">
        <v>1</v>
      </c>
      <c r="H96" s="2">
        <v>1094</v>
      </c>
      <c r="I96">
        <v>1</v>
      </c>
    </row>
    <row r="97" spans="5:9" x14ac:dyDescent="0.25">
      <c r="E97" s="2">
        <v>1095</v>
      </c>
      <c r="F97">
        <v>1</v>
      </c>
      <c r="H97" s="2">
        <v>1095</v>
      </c>
      <c r="I97">
        <v>1</v>
      </c>
    </row>
    <row r="98" spans="5:9" x14ac:dyDescent="0.25">
      <c r="E98" s="2">
        <v>1096</v>
      </c>
      <c r="F98">
        <v>1</v>
      </c>
      <c r="H98" s="2">
        <v>1096</v>
      </c>
      <c r="I98">
        <v>1</v>
      </c>
    </row>
    <row r="99" spans="5:9" x14ac:dyDescent="0.25">
      <c r="E99" s="2">
        <v>1097</v>
      </c>
      <c r="F99">
        <v>1</v>
      </c>
      <c r="H99" s="2">
        <v>1097</v>
      </c>
      <c r="I99">
        <v>1</v>
      </c>
    </row>
    <row r="100" spans="5:9" x14ac:dyDescent="0.25">
      <c r="E100" s="2">
        <v>1098</v>
      </c>
      <c r="F100">
        <v>1</v>
      </c>
      <c r="H100" s="2">
        <v>1098</v>
      </c>
      <c r="I100">
        <v>1</v>
      </c>
    </row>
    <row r="101" spans="5:9" x14ac:dyDescent="0.25">
      <c r="E101" s="2">
        <v>1099</v>
      </c>
      <c r="F101">
        <v>1</v>
      </c>
      <c r="H101" s="2">
        <v>1099</v>
      </c>
      <c r="I101">
        <v>1</v>
      </c>
    </row>
    <row r="102" spans="5:9" x14ac:dyDescent="0.25">
      <c r="E102" s="2">
        <v>1100</v>
      </c>
      <c r="F102">
        <v>1</v>
      </c>
      <c r="H102" s="2">
        <v>1100</v>
      </c>
      <c r="I102">
        <v>1</v>
      </c>
    </row>
    <row r="103" spans="5:9" x14ac:dyDescent="0.25">
      <c r="E103" s="2">
        <v>1101</v>
      </c>
      <c r="F103">
        <v>1</v>
      </c>
      <c r="H103" s="2">
        <v>1101</v>
      </c>
      <c r="I103">
        <v>1</v>
      </c>
    </row>
    <row r="104" spans="5:9" x14ac:dyDescent="0.25">
      <c r="E104" s="2">
        <v>1102</v>
      </c>
      <c r="F104">
        <v>1</v>
      </c>
      <c r="H104" s="2">
        <v>1102</v>
      </c>
      <c r="I104">
        <v>1</v>
      </c>
    </row>
    <row r="105" spans="5:9" x14ac:dyDescent="0.25">
      <c r="E105" s="2">
        <v>1103</v>
      </c>
      <c r="F105">
        <v>1</v>
      </c>
      <c r="H105" s="2">
        <v>1103</v>
      </c>
      <c r="I105">
        <v>1</v>
      </c>
    </row>
    <row r="106" spans="5:9" x14ac:dyDescent="0.25">
      <c r="E106" s="2">
        <v>1104</v>
      </c>
      <c r="F106">
        <v>1</v>
      </c>
      <c r="H106" s="2">
        <v>1104</v>
      </c>
      <c r="I106">
        <v>1</v>
      </c>
    </row>
    <row r="107" spans="5:9" x14ac:dyDescent="0.25">
      <c r="E107" s="2">
        <v>1105</v>
      </c>
      <c r="F107">
        <v>1</v>
      </c>
      <c r="H107" s="2">
        <v>1105</v>
      </c>
      <c r="I107">
        <v>1</v>
      </c>
    </row>
    <row r="108" spans="5:9" x14ac:dyDescent="0.25">
      <c r="E108" s="2">
        <v>1106</v>
      </c>
      <c r="F108">
        <v>1</v>
      </c>
      <c r="H108" s="2">
        <v>1106</v>
      </c>
      <c r="I108">
        <v>1</v>
      </c>
    </row>
    <row r="109" spans="5:9" x14ac:dyDescent="0.25">
      <c r="E109" s="2">
        <v>1107</v>
      </c>
      <c r="F109">
        <v>1</v>
      </c>
      <c r="H109" s="2">
        <v>1107</v>
      </c>
      <c r="I109">
        <v>1</v>
      </c>
    </row>
    <row r="110" spans="5:9" x14ac:dyDescent="0.25">
      <c r="E110" s="2">
        <v>1108</v>
      </c>
      <c r="F110">
        <v>1</v>
      </c>
      <c r="H110" s="2">
        <v>1108</v>
      </c>
      <c r="I110">
        <v>1</v>
      </c>
    </row>
    <row r="111" spans="5:9" x14ac:dyDescent="0.25">
      <c r="E111" s="2">
        <v>1109</v>
      </c>
      <c r="F111">
        <v>1</v>
      </c>
      <c r="H111" s="2">
        <v>1109</v>
      </c>
      <c r="I111">
        <v>1</v>
      </c>
    </row>
    <row r="112" spans="5:9" x14ac:dyDescent="0.25">
      <c r="E112" s="2">
        <v>1110</v>
      </c>
      <c r="F112">
        <v>1</v>
      </c>
      <c r="H112" s="2">
        <v>1110</v>
      </c>
      <c r="I112">
        <v>1</v>
      </c>
    </row>
    <row r="113" spans="5:9" x14ac:dyDescent="0.25">
      <c r="E113" s="2">
        <v>1111</v>
      </c>
      <c r="F113">
        <v>1</v>
      </c>
      <c r="H113" s="2">
        <v>1111</v>
      </c>
      <c r="I113">
        <v>1</v>
      </c>
    </row>
    <row r="114" spans="5:9" x14ac:dyDescent="0.25">
      <c r="E114" s="2">
        <v>1112</v>
      </c>
      <c r="F114">
        <v>1</v>
      </c>
      <c r="H114" s="2">
        <v>1112</v>
      </c>
      <c r="I114">
        <v>1</v>
      </c>
    </row>
    <row r="115" spans="5:9" x14ac:dyDescent="0.25">
      <c r="E115" s="2">
        <v>1113</v>
      </c>
      <c r="F115">
        <v>1</v>
      </c>
      <c r="H115" s="2">
        <v>1113</v>
      </c>
      <c r="I115">
        <v>1</v>
      </c>
    </row>
    <row r="116" spans="5:9" x14ac:dyDescent="0.25">
      <c r="E116" s="2">
        <v>1114</v>
      </c>
      <c r="F116">
        <v>1</v>
      </c>
      <c r="H116" s="2">
        <v>1114</v>
      </c>
      <c r="I116">
        <v>1</v>
      </c>
    </row>
    <row r="117" spans="5:9" x14ac:dyDescent="0.25">
      <c r="E117" s="2">
        <v>1115</v>
      </c>
      <c r="F117">
        <v>1</v>
      </c>
      <c r="H117" s="2">
        <v>1115</v>
      </c>
      <c r="I117">
        <v>1</v>
      </c>
    </row>
    <row r="118" spans="5:9" x14ac:dyDescent="0.25">
      <c r="E118" s="2">
        <v>1116</v>
      </c>
      <c r="F118">
        <v>1</v>
      </c>
      <c r="H118" s="2">
        <v>1116</v>
      </c>
      <c r="I118">
        <v>1</v>
      </c>
    </row>
    <row r="119" spans="5:9" x14ac:dyDescent="0.25">
      <c r="E119" s="2">
        <v>1117</v>
      </c>
      <c r="F119">
        <v>1</v>
      </c>
      <c r="H119" s="2">
        <v>1117</v>
      </c>
      <c r="I119">
        <v>1</v>
      </c>
    </row>
    <row r="120" spans="5:9" x14ac:dyDescent="0.25">
      <c r="E120" s="2">
        <v>1118</v>
      </c>
      <c r="F120">
        <v>1</v>
      </c>
      <c r="H120" s="2">
        <v>1118</v>
      </c>
      <c r="I120">
        <v>1</v>
      </c>
    </row>
    <row r="121" spans="5:9" x14ac:dyDescent="0.25">
      <c r="E121" s="2">
        <v>1119</v>
      </c>
      <c r="F121">
        <v>1</v>
      </c>
      <c r="H121" s="2">
        <v>1119</v>
      </c>
      <c r="I121">
        <v>1</v>
      </c>
    </row>
    <row r="122" spans="5:9" x14ac:dyDescent="0.25">
      <c r="E122" s="2">
        <v>1120</v>
      </c>
      <c r="F122">
        <v>1</v>
      </c>
      <c r="H122" s="2">
        <v>1120</v>
      </c>
      <c r="I122">
        <v>1</v>
      </c>
    </row>
    <row r="123" spans="5:9" x14ac:dyDescent="0.25">
      <c r="E123" s="2">
        <v>1121</v>
      </c>
      <c r="F123">
        <v>1</v>
      </c>
      <c r="H123" s="2">
        <v>1121</v>
      </c>
      <c r="I123">
        <v>1</v>
      </c>
    </row>
    <row r="124" spans="5:9" x14ac:dyDescent="0.25">
      <c r="E124" s="2">
        <v>1122</v>
      </c>
      <c r="F124">
        <v>1</v>
      </c>
      <c r="H124" s="2">
        <v>1122</v>
      </c>
      <c r="I124">
        <v>1</v>
      </c>
    </row>
    <row r="125" spans="5:9" x14ac:dyDescent="0.25">
      <c r="E125" s="2">
        <v>1123</v>
      </c>
      <c r="F125">
        <v>1</v>
      </c>
      <c r="H125" s="2">
        <v>1123</v>
      </c>
      <c r="I125">
        <v>1</v>
      </c>
    </row>
    <row r="126" spans="5:9" x14ac:dyDescent="0.25">
      <c r="E126" s="2">
        <v>1124</v>
      </c>
      <c r="F126">
        <v>1</v>
      </c>
      <c r="H126" s="2">
        <v>1124</v>
      </c>
      <c r="I126">
        <v>1</v>
      </c>
    </row>
    <row r="127" spans="5:9" x14ac:dyDescent="0.25">
      <c r="E127" s="2">
        <v>1125</v>
      </c>
      <c r="F127">
        <v>1</v>
      </c>
      <c r="H127" s="2">
        <v>1125</v>
      </c>
      <c r="I127">
        <v>1</v>
      </c>
    </row>
    <row r="128" spans="5:9" x14ac:dyDescent="0.25">
      <c r="E128" s="2">
        <v>1126</v>
      </c>
      <c r="F128">
        <v>1</v>
      </c>
      <c r="H128" s="2">
        <v>1126</v>
      </c>
      <c r="I128">
        <v>1</v>
      </c>
    </row>
    <row r="129" spans="5:9" x14ac:dyDescent="0.25">
      <c r="E129" s="2">
        <v>1127</v>
      </c>
      <c r="F129">
        <v>1</v>
      </c>
      <c r="H129" s="2">
        <v>1127</v>
      </c>
      <c r="I129">
        <v>1</v>
      </c>
    </row>
    <row r="130" spans="5:9" x14ac:dyDescent="0.25">
      <c r="E130" s="2">
        <v>1128</v>
      </c>
      <c r="F130">
        <v>1</v>
      </c>
      <c r="H130" s="2">
        <v>1128</v>
      </c>
      <c r="I130">
        <v>1</v>
      </c>
    </row>
    <row r="131" spans="5:9" x14ac:dyDescent="0.25">
      <c r="E131" s="2">
        <v>1129</v>
      </c>
      <c r="F131">
        <v>1</v>
      </c>
      <c r="H131" s="2">
        <v>1129</v>
      </c>
      <c r="I131">
        <v>1</v>
      </c>
    </row>
    <row r="132" spans="5:9" x14ac:dyDescent="0.25">
      <c r="E132" s="2">
        <v>1130</v>
      </c>
      <c r="F132">
        <v>1</v>
      </c>
      <c r="H132" s="2">
        <v>1130</v>
      </c>
      <c r="I132">
        <v>1</v>
      </c>
    </row>
    <row r="133" spans="5:9" x14ac:dyDescent="0.25">
      <c r="E133" s="2">
        <v>1131</v>
      </c>
      <c r="F133">
        <v>1</v>
      </c>
      <c r="H133" s="2">
        <v>1131</v>
      </c>
      <c r="I133">
        <v>1</v>
      </c>
    </row>
    <row r="134" spans="5:9" x14ac:dyDescent="0.25">
      <c r="E134" s="2">
        <v>1132</v>
      </c>
      <c r="F134">
        <v>1</v>
      </c>
      <c r="H134" s="2">
        <v>1132</v>
      </c>
      <c r="I134">
        <v>1</v>
      </c>
    </row>
    <row r="135" spans="5:9" x14ac:dyDescent="0.25">
      <c r="E135" s="2">
        <v>1133</v>
      </c>
      <c r="F135">
        <v>1</v>
      </c>
      <c r="H135" s="2">
        <v>1133</v>
      </c>
      <c r="I135">
        <v>1</v>
      </c>
    </row>
    <row r="136" spans="5:9" x14ac:dyDescent="0.25">
      <c r="E136" s="2">
        <v>1134</v>
      </c>
      <c r="F136">
        <v>1</v>
      </c>
      <c r="H136" s="2">
        <v>1134</v>
      </c>
      <c r="I136">
        <v>1</v>
      </c>
    </row>
    <row r="137" spans="5:9" x14ac:dyDescent="0.25">
      <c r="E137" s="2">
        <v>1135</v>
      </c>
      <c r="F137">
        <v>1</v>
      </c>
      <c r="H137" s="2">
        <v>1135</v>
      </c>
      <c r="I137">
        <v>1</v>
      </c>
    </row>
    <row r="138" spans="5:9" x14ac:dyDescent="0.25">
      <c r="E138" s="2">
        <v>1136</v>
      </c>
      <c r="F138">
        <v>1</v>
      </c>
      <c r="H138" s="2">
        <v>1136</v>
      </c>
      <c r="I138">
        <v>1</v>
      </c>
    </row>
    <row r="139" spans="5:9" x14ac:dyDescent="0.25">
      <c r="E139" s="2">
        <v>1137</v>
      </c>
      <c r="F139">
        <v>1</v>
      </c>
      <c r="H139" s="2">
        <v>1137</v>
      </c>
      <c r="I139">
        <v>1</v>
      </c>
    </row>
    <row r="140" spans="5:9" x14ac:dyDescent="0.25">
      <c r="E140" s="2">
        <v>1138</v>
      </c>
      <c r="F140">
        <v>1</v>
      </c>
      <c r="H140" s="2">
        <v>1138</v>
      </c>
      <c r="I140">
        <v>1</v>
      </c>
    </row>
    <row r="141" spans="5:9" x14ac:dyDescent="0.25">
      <c r="E141" s="2">
        <v>1139</v>
      </c>
      <c r="F141">
        <v>1</v>
      </c>
      <c r="H141" s="2">
        <v>1139</v>
      </c>
      <c r="I141">
        <v>1</v>
      </c>
    </row>
    <row r="142" spans="5:9" x14ac:dyDescent="0.25">
      <c r="E142" s="2">
        <v>1140</v>
      </c>
      <c r="F142">
        <v>1</v>
      </c>
      <c r="H142" s="2">
        <v>1140</v>
      </c>
      <c r="I142">
        <v>1</v>
      </c>
    </row>
    <row r="143" spans="5:9" x14ac:dyDescent="0.25">
      <c r="E143" s="2">
        <v>1141</v>
      </c>
      <c r="F143">
        <v>1</v>
      </c>
      <c r="H143" s="2">
        <v>1141</v>
      </c>
      <c r="I143">
        <v>1</v>
      </c>
    </row>
    <row r="144" spans="5:9" x14ac:dyDescent="0.25">
      <c r="E144" s="2">
        <v>1142</v>
      </c>
      <c r="F144">
        <v>1</v>
      </c>
      <c r="H144" s="2">
        <v>1142</v>
      </c>
      <c r="I144">
        <v>1</v>
      </c>
    </row>
    <row r="145" spans="5:9" x14ac:dyDescent="0.25">
      <c r="E145" s="2">
        <v>1143</v>
      </c>
      <c r="F145">
        <v>1</v>
      </c>
      <c r="H145" s="2">
        <v>1143</v>
      </c>
      <c r="I145">
        <v>1</v>
      </c>
    </row>
    <row r="146" spans="5:9" x14ac:dyDescent="0.25">
      <c r="E146" s="2">
        <v>1144</v>
      </c>
      <c r="F146">
        <v>1</v>
      </c>
      <c r="H146" s="2">
        <v>1144</v>
      </c>
      <c r="I146">
        <v>1</v>
      </c>
    </row>
    <row r="147" spans="5:9" x14ac:dyDescent="0.25">
      <c r="E147" s="2">
        <v>1145</v>
      </c>
      <c r="F147">
        <v>1</v>
      </c>
      <c r="H147" s="2">
        <v>1145</v>
      </c>
      <c r="I147">
        <v>1</v>
      </c>
    </row>
    <row r="148" spans="5:9" x14ac:dyDescent="0.25">
      <c r="E148" s="2">
        <v>1146</v>
      </c>
      <c r="F148">
        <v>1</v>
      </c>
      <c r="H148" s="2">
        <v>1146</v>
      </c>
      <c r="I148">
        <v>1</v>
      </c>
    </row>
    <row r="149" spans="5:9" x14ac:dyDescent="0.25">
      <c r="E149" s="2">
        <v>1147</v>
      </c>
      <c r="F149">
        <v>1</v>
      </c>
      <c r="H149" s="2">
        <v>1147</v>
      </c>
      <c r="I149">
        <v>1</v>
      </c>
    </row>
    <row r="150" spans="5:9" x14ac:dyDescent="0.25">
      <c r="E150" s="2">
        <v>1148</v>
      </c>
      <c r="F150">
        <v>1</v>
      </c>
      <c r="H150" s="2">
        <v>1148</v>
      </c>
      <c r="I150">
        <v>1</v>
      </c>
    </row>
    <row r="151" spans="5:9" x14ac:dyDescent="0.25">
      <c r="E151" s="2">
        <v>1149</v>
      </c>
      <c r="F151">
        <v>1</v>
      </c>
      <c r="H151" s="2">
        <v>1149</v>
      </c>
      <c r="I151">
        <v>1</v>
      </c>
    </row>
    <row r="152" spans="5:9" x14ac:dyDescent="0.25">
      <c r="E152" s="2">
        <v>1150</v>
      </c>
      <c r="F152">
        <v>1</v>
      </c>
      <c r="H152" s="2">
        <v>1150</v>
      </c>
      <c r="I152">
        <v>1</v>
      </c>
    </row>
    <row r="153" spans="5:9" x14ac:dyDescent="0.25">
      <c r="E153" s="2">
        <v>1151</v>
      </c>
      <c r="F153">
        <v>1</v>
      </c>
      <c r="H153" s="2">
        <v>1151</v>
      </c>
      <c r="I153">
        <v>1</v>
      </c>
    </row>
    <row r="154" spans="5:9" x14ac:dyDescent="0.25">
      <c r="E154" s="2">
        <v>1152</v>
      </c>
      <c r="F154">
        <v>1</v>
      </c>
      <c r="H154" s="2">
        <v>1152</v>
      </c>
      <c r="I154">
        <v>1</v>
      </c>
    </row>
    <row r="155" spans="5:9" x14ac:dyDescent="0.25">
      <c r="E155" s="2">
        <v>1153</v>
      </c>
      <c r="F155">
        <v>1</v>
      </c>
      <c r="H155" s="2">
        <v>1153</v>
      </c>
      <c r="I155">
        <v>1</v>
      </c>
    </row>
    <row r="156" spans="5:9" x14ac:dyDescent="0.25">
      <c r="E156" s="2">
        <v>1154</v>
      </c>
      <c r="F156">
        <v>1</v>
      </c>
      <c r="H156" s="2">
        <v>1154</v>
      </c>
      <c r="I156">
        <v>1</v>
      </c>
    </row>
    <row r="157" spans="5:9" x14ac:dyDescent="0.25">
      <c r="E157" s="2">
        <v>1155</v>
      </c>
      <c r="F157">
        <v>1</v>
      </c>
      <c r="H157" s="2">
        <v>1155</v>
      </c>
      <c r="I157">
        <v>1</v>
      </c>
    </row>
    <row r="158" spans="5:9" x14ac:dyDescent="0.25">
      <c r="E158" s="2">
        <v>1156</v>
      </c>
      <c r="F158">
        <v>1</v>
      </c>
      <c r="H158" s="2">
        <v>1156</v>
      </c>
      <c r="I158">
        <v>1</v>
      </c>
    </row>
    <row r="159" spans="5:9" x14ac:dyDescent="0.25">
      <c r="E159" s="2">
        <v>1157</v>
      </c>
      <c r="F159">
        <v>1</v>
      </c>
      <c r="H159" s="2">
        <v>1157</v>
      </c>
      <c r="I159">
        <v>1</v>
      </c>
    </row>
    <row r="160" spans="5:9" x14ac:dyDescent="0.25">
      <c r="E160" s="2">
        <v>1158</v>
      </c>
      <c r="F160">
        <v>1</v>
      </c>
      <c r="H160" s="2">
        <v>1158</v>
      </c>
      <c r="I160">
        <v>1</v>
      </c>
    </row>
    <row r="161" spans="5:9" x14ac:dyDescent="0.25">
      <c r="E161" s="2">
        <v>1159</v>
      </c>
      <c r="F161">
        <v>1</v>
      </c>
      <c r="H161" s="2">
        <v>1159</v>
      </c>
      <c r="I161">
        <v>1</v>
      </c>
    </row>
    <row r="162" spans="5:9" x14ac:dyDescent="0.25">
      <c r="E162" s="2">
        <v>1160</v>
      </c>
      <c r="F162">
        <v>1</v>
      </c>
      <c r="H162" s="2">
        <v>1160</v>
      </c>
      <c r="I162">
        <v>1</v>
      </c>
    </row>
    <row r="163" spans="5:9" x14ac:dyDescent="0.25">
      <c r="E163" s="2">
        <v>1161</v>
      </c>
      <c r="F163">
        <v>1</v>
      </c>
      <c r="H163" s="2">
        <v>1161</v>
      </c>
      <c r="I163">
        <v>1</v>
      </c>
    </row>
    <row r="164" spans="5:9" x14ac:dyDescent="0.25">
      <c r="E164" s="2">
        <v>1162</v>
      </c>
      <c r="F164">
        <v>1</v>
      </c>
      <c r="H164" s="2">
        <v>1162</v>
      </c>
      <c r="I164">
        <v>1</v>
      </c>
    </row>
    <row r="165" spans="5:9" x14ac:dyDescent="0.25">
      <c r="E165" s="2">
        <v>1163</v>
      </c>
      <c r="F165">
        <v>1</v>
      </c>
      <c r="H165" s="2">
        <v>1163</v>
      </c>
      <c r="I165">
        <v>1</v>
      </c>
    </row>
    <row r="166" spans="5:9" x14ac:dyDescent="0.25">
      <c r="E166" s="2">
        <v>1164</v>
      </c>
      <c r="F166">
        <v>1</v>
      </c>
      <c r="H166" s="2">
        <v>1164</v>
      </c>
      <c r="I166">
        <v>1</v>
      </c>
    </row>
    <row r="167" spans="5:9" x14ac:dyDescent="0.25">
      <c r="E167" s="2">
        <v>1165</v>
      </c>
      <c r="F167">
        <v>1</v>
      </c>
      <c r="H167" s="2">
        <v>1165</v>
      </c>
      <c r="I167">
        <v>1</v>
      </c>
    </row>
    <row r="168" spans="5:9" x14ac:dyDescent="0.25">
      <c r="E168" s="2">
        <v>1166</v>
      </c>
      <c r="F168">
        <v>1</v>
      </c>
      <c r="H168" s="2">
        <v>1166</v>
      </c>
      <c r="I168">
        <v>1</v>
      </c>
    </row>
    <row r="169" spans="5:9" x14ac:dyDescent="0.25">
      <c r="E169" s="2">
        <v>1167</v>
      </c>
      <c r="F169">
        <v>1</v>
      </c>
      <c r="H169" s="2">
        <v>1167</v>
      </c>
      <c r="I169">
        <v>1</v>
      </c>
    </row>
    <row r="170" spans="5:9" x14ac:dyDescent="0.25">
      <c r="E170" s="2">
        <v>1168</v>
      </c>
      <c r="F170">
        <v>1</v>
      </c>
      <c r="H170" s="2">
        <v>1168</v>
      </c>
      <c r="I170">
        <v>1</v>
      </c>
    </row>
    <row r="171" spans="5:9" x14ac:dyDescent="0.25">
      <c r="E171" s="2">
        <v>1169</v>
      </c>
      <c r="F171">
        <v>1</v>
      </c>
      <c r="H171" s="2">
        <v>1169</v>
      </c>
      <c r="I171">
        <v>1</v>
      </c>
    </row>
    <row r="172" spans="5:9" x14ac:dyDescent="0.25">
      <c r="E172" s="2">
        <v>1170</v>
      </c>
      <c r="F172">
        <v>1</v>
      </c>
      <c r="H172" s="2">
        <v>1170</v>
      </c>
      <c r="I172">
        <v>1</v>
      </c>
    </row>
    <row r="173" spans="5:9" x14ac:dyDescent="0.25">
      <c r="E173" s="2">
        <v>1171</v>
      </c>
      <c r="F173">
        <v>1</v>
      </c>
      <c r="H173" s="2">
        <v>1171</v>
      </c>
      <c r="I173">
        <v>1</v>
      </c>
    </row>
    <row r="174" spans="5:9" x14ac:dyDescent="0.25">
      <c r="E174" s="2">
        <v>1172</v>
      </c>
      <c r="F174">
        <v>1</v>
      </c>
      <c r="H174" s="2">
        <v>1172</v>
      </c>
      <c r="I174">
        <v>1</v>
      </c>
    </row>
    <row r="175" spans="5:9" x14ac:dyDescent="0.25">
      <c r="E175" s="2">
        <v>1173</v>
      </c>
      <c r="F175">
        <v>1</v>
      </c>
      <c r="H175" s="2">
        <v>1173</v>
      </c>
      <c r="I175">
        <v>1</v>
      </c>
    </row>
    <row r="176" spans="5:9" x14ac:dyDescent="0.25">
      <c r="E176" s="2">
        <v>1174</v>
      </c>
      <c r="F176">
        <v>1</v>
      </c>
      <c r="H176" s="2">
        <v>1174</v>
      </c>
      <c r="I176">
        <v>1</v>
      </c>
    </row>
    <row r="177" spans="5:9" x14ac:dyDescent="0.25">
      <c r="E177" s="2">
        <v>1175</v>
      </c>
      <c r="F177">
        <v>1</v>
      </c>
      <c r="H177" s="2">
        <v>1175</v>
      </c>
      <c r="I177">
        <v>1</v>
      </c>
    </row>
    <row r="178" spans="5:9" x14ac:dyDescent="0.25">
      <c r="E178" s="2">
        <v>1176</v>
      </c>
      <c r="F178">
        <v>1</v>
      </c>
      <c r="H178" s="2">
        <v>1176</v>
      </c>
      <c r="I178">
        <v>1</v>
      </c>
    </row>
    <row r="179" spans="5:9" x14ac:dyDescent="0.25">
      <c r="E179" s="2">
        <v>1177</v>
      </c>
      <c r="F179">
        <v>1</v>
      </c>
      <c r="H179" s="2">
        <v>1177</v>
      </c>
      <c r="I179">
        <v>1</v>
      </c>
    </row>
    <row r="180" spans="5:9" x14ac:dyDescent="0.25">
      <c r="E180" s="2">
        <v>1178</v>
      </c>
      <c r="F180">
        <v>1</v>
      </c>
      <c r="H180" s="2">
        <v>1178</v>
      </c>
      <c r="I180">
        <v>1</v>
      </c>
    </row>
    <row r="181" spans="5:9" x14ac:dyDescent="0.25">
      <c r="E181" s="2">
        <v>1179</v>
      </c>
      <c r="F181">
        <v>1</v>
      </c>
      <c r="H181" s="2">
        <v>1179</v>
      </c>
      <c r="I181">
        <v>1</v>
      </c>
    </row>
    <row r="182" spans="5:9" x14ac:dyDescent="0.25">
      <c r="E182" s="2">
        <v>1180</v>
      </c>
      <c r="F182">
        <v>1</v>
      </c>
      <c r="H182" s="2">
        <v>1180</v>
      </c>
      <c r="I182">
        <v>1</v>
      </c>
    </row>
    <row r="183" spans="5:9" x14ac:dyDescent="0.25">
      <c r="E183" s="2">
        <v>1181</v>
      </c>
      <c r="F183">
        <v>1</v>
      </c>
      <c r="H183" s="2">
        <v>1181</v>
      </c>
      <c r="I183">
        <v>1</v>
      </c>
    </row>
    <row r="184" spans="5:9" x14ac:dyDescent="0.25">
      <c r="E184" s="2">
        <v>1182</v>
      </c>
      <c r="F184">
        <v>1</v>
      </c>
      <c r="H184" s="2">
        <v>1182</v>
      </c>
      <c r="I184">
        <v>1</v>
      </c>
    </row>
    <row r="185" spans="5:9" x14ac:dyDescent="0.25">
      <c r="E185" s="2">
        <v>1183</v>
      </c>
      <c r="F185">
        <v>1</v>
      </c>
      <c r="H185" s="2">
        <v>1183</v>
      </c>
      <c r="I185">
        <v>1</v>
      </c>
    </row>
    <row r="186" spans="5:9" x14ac:dyDescent="0.25">
      <c r="E186" s="2">
        <v>1184</v>
      </c>
      <c r="F186">
        <v>1</v>
      </c>
      <c r="H186" s="2">
        <v>1184</v>
      </c>
      <c r="I186">
        <v>1</v>
      </c>
    </row>
    <row r="187" spans="5:9" x14ac:dyDescent="0.25">
      <c r="E187" s="2">
        <v>1185</v>
      </c>
      <c r="F187">
        <v>1</v>
      </c>
      <c r="H187" s="2">
        <v>1185</v>
      </c>
      <c r="I187">
        <v>1</v>
      </c>
    </row>
    <row r="188" spans="5:9" x14ac:dyDescent="0.25">
      <c r="E188" s="2">
        <v>1186</v>
      </c>
      <c r="F188">
        <v>1</v>
      </c>
      <c r="H188" s="2">
        <v>1186</v>
      </c>
      <c r="I188">
        <v>1</v>
      </c>
    </row>
    <row r="189" spans="5:9" x14ac:dyDescent="0.25">
      <c r="E189" s="2">
        <v>1187</v>
      </c>
      <c r="F189">
        <v>1</v>
      </c>
      <c r="H189" s="2">
        <v>1187</v>
      </c>
      <c r="I189">
        <v>1</v>
      </c>
    </row>
    <row r="190" spans="5:9" x14ac:dyDescent="0.25">
      <c r="E190" s="2">
        <v>1188</v>
      </c>
      <c r="F190">
        <v>1</v>
      </c>
      <c r="H190" s="2">
        <v>1188</v>
      </c>
      <c r="I190">
        <v>1</v>
      </c>
    </row>
    <row r="191" spans="5:9" x14ac:dyDescent="0.25">
      <c r="E191" s="2">
        <v>1189</v>
      </c>
      <c r="F191">
        <v>1</v>
      </c>
      <c r="H191" s="2">
        <v>1189</v>
      </c>
      <c r="I191">
        <v>1</v>
      </c>
    </row>
    <row r="192" spans="5:9" x14ac:dyDescent="0.25">
      <c r="E192" s="2">
        <v>1190</v>
      </c>
      <c r="F192">
        <v>1</v>
      </c>
      <c r="H192" s="2">
        <v>1190</v>
      </c>
      <c r="I192">
        <v>1</v>
      </c>
    </row>
    <row r="193" spans="5:9" x14ac:dyDescent="0.25">
      <c r="E193" s="2">
        <v>1191</v>
      </c>
      <c r="F193">
        <v>1</v>
      </c>
      <c r="H193" s="2">
        <v>1191</v>
      </c>
      <c r="I193">
        <v>1</v>
      </c>
    </row>
    <row r="194" spans="5:9" x14ac:dyDescent="0.25">
      <c r="E194" s="2">
        <v>1192</v>
      </c>
      <c r="F194">
        <v>1</v>
      </c>
      <c r="H194" s="2">
        <v>1192</v>
      </c>
      <c r="I194">
        <v>1</v>
      </c>
    </row>
    <row r="195" spans="5:9" x14ac:dyDescent="0.25">
      <c r="E195" s="2">
        <v>1193</v>
      </c>
      <c r="F195">
        <v>1</v>
      </c>
      <c r="H195" s="2">
        <v>1193</v>
      </c>
      <c r="I195">
        <v>1</v>
      </c>
    </row>
    <row r="196" spans="5:9" x14ac:dyDescent="0.25">
      <c r="E196" s="2">
        <v>1194</v>
      </c>
      <c r="F196">
        <v>1</v>
      </c>
      <c r="H196" s="2">
        <v>1194</v>
      </c>
      <c r="I196">
        <v>1</v>
      </c>
    </row>
    <row r="197" spans="5:9" x14ac:dyDescent="0.25">
      <c r="E197" s="2">
        <v>1195</v>
      </c>
      <c r="F197">
        <v>1</v>
      </c>
      <c r="H197" s="2">
        <v>1195</v>
      </c>
      <c r="I197">
        <v>1</v>
      </c>
    </row>
    <row r="198" spans="5:9" x14ac:dyDescent="0.25">
      <c r="E198" s="2">
        <v>1196</v>
      </c>
      <c r="F198">
        <v>1</v>
      </c>
      <c r="H198" s="2">
        <v>1196</v>
      </c>
      <c r="I198">
        <v>1</v>
      </c>
    </row>
    <row r="199" spans="5:9" x14ac:dyDescent="0.25">
      <c r="E199" s="2">
        <v>1197</v>
      </c>
      <c r="F199">
        <v>1</v>
      </c>
      <c r="H199" s="2">
        <v>1197</v>
      </c>
      <c r="I199">
        <v>1</v>
      </c>
    </row>
    <row r="200" spans="5:9" x14ac:dyDescent="0.25">
      <c r="E200" s="2">
        <v>1198</v>
      </c>
      <c r="F200">
        <v>1</v>
      </c>
      <c r="H200" s="2">
        <v>1198</v>
      </c>
      <c r="I200">
        <v>1</v>
      </c>
    </row>
    <row r="201" spans="5:9" x14ac:dyDescent="0.25">
      <c r="E201" s="2">
        <v>1199</v>
      </c>
      <c r="F201">
        <v>1</v>
      </c>
      <c r="H201" s="2">
        <v>1199</v>
      </c>
      <c r="I201">
        <v>1</v>
      </c>
    </row>
    <row r="202" spans="5:9" x14ac:dyDescent="0.25">
      <c r="E202" s="2">
        <v>1200</v>
      </c>
      <c r="F202">
        <v>1</v>
      </c>
      <c r="H202" s="2">
        <v>1200</v>
      </c>
      <c r="I202">
        <v>1</v>
      </c>
    </row>
    <row r="203" spans="5:9" x14ac:dyDescent="0.25">
      <c r="E203" s="2" t="s">
        <v>35</v>
      </c>
      <c r="F203">
        <v>200</v>
      </c>
      <c r="H203" s="2" t="s">
        <v>35</v>
      </c>
      <c r="I203">
        <v>200</v>
      </c>
    </row>
  </sheetData>
  <mergeCells count="2">
    <mergeCell ref="A2:C2"/>
    <mergeCell ref="A3:C3"/>
  </mergeCell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2405-5853-4FF3-ACFE-30845BE684E3}">
  <dimension ref="A1"/>
  <sheetViews>
    <sheetView tabSelected="1" workbookViewId="0">
      <selection activeCell="J8" sqref="J8"/>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workbookViewId="0">
      <selection activeCell="C4" sqref="C4:C195"/>
    </sheetView>
  </sheetViews>
  <sheetFormatPr defaultRowHeight="15" x14ac:dyDescent="0.25"/>
  <cols>
    <col min="1" max="1" width="13.140625" customWidth="1"/>
    <col min="3" max="3" width="13.7109375" customWidth="1"/>
    <col min="4" max="4" width="21.140625" customWidth="1"/>
    <col min="5" max="5" width="10.140625" customWidth="1"/>
    <col min="7" max="7" width="10.7109375" customWidth="1"/>
    <col min="9" max="9" width="24.140625" customWidth="1"/>
    <col min="10" max="10" width="20.7109375" customWidth="1"/>
    <col min="12" max="12" width="20.42578125" customWidth="1"/>
    <col min="13" max="13" width="11" customWidth="1"/>
  </cols>
  <sheetData>
    <row r="1" spans="1:13" x14ac:dyDescent="0.25">
      <c r="A1" t="s">
        <v>0</v>
      </c>
      <c r="B1" t="s">
        <v>1</v>
      </c>
      <c r="C1" t="s">
        <v>2</v>
      </c>
      <c r="D1" t="s">
        <v>3</v>
      </c>
      <c r="E1" t="s">
        <v>4</v>
      </c>
      <c r="F1" t="s">
        <v>5</v>
      </c>
      <c r="G1" t="s">
        <v>6</v>
      </c>
      <c r="H1" t="s">
        <v>7</v>
      </c>
      <c r="I1" t="s">
        <v>8</v>
      </c>
      <c r="J1" t="s">
        <v>9</v>
      </c>
      <c r="K1" t="s">
        <v>10</v>
      </c>
      <c r="L1" t="s">
        <v>37</v>
      </c>
      <c r="M1" t="s">
        <v>38</v>
      </c>
    </row>
    <row r="2" spans="1:13" hidden="1" x14ac:dyDescent="0.25">
      <c r="A2">
        <v>1001</v>
      </c>
      <c r="B2" t="s">
        <v>11</v>
      </c>
      <c r="C2">
        <v>0</v>
      </c>
      <c r="D2" t="s">
        <v>12</v>
      </c>
      <c r="E2" t="s">
        <v>13</v>
      </c>
      <c r="F2">
        <v>1</v>
      </c>
      <c r="G2">
        <v>0</v>
      </c>
      <c r="H2">
        <v>0</v>
      </c>
      <c r="I2">
        <v>0</v>
      </c>
      <c r="J2">
        <v>4</v>
      </c>
      <c r="K2">
        <v>248.71</v>
      </c>
      <c r="L2" t="str">
        <f>IF(C2=1,"Cancelled","Not cancelled")</f>
        <v>Not cancelled</v>
      </c>
    </row>
    <row r="3" spans="1:13" hidden="1" x14ac:dyDescent="0.25">
      <c r="A3">
        <v>1002</v>
      </c>
      <c r="B3" t="s">
        <v>11</v>
      </c>
      <c r="C3">
        <v>0</v>
      </c>
      <c r="D3" t="s">
        <v>14</v>
      </c>
      <c r="E3" t="s">
        <v>15</v>
      </c>
      <c r="F3">
        <v>1</v>
      </c>
      <c r="G3">
        <v>0</v>
      </c>
      <c r="H3">
        <v>0</v>
      </c>
      <c r="I3">
        <v>1</v>
      </c>
      <c r="J3">
        <v>7</v>
      </c>
      <c r="K3">
        <v>108.6</v>
      </c>
      <c r="L3" t="str">
        <f t="shared" ref="L3:L66" si="0">IF(C3=1,"Cancelled","Not cancelled")</f>
        <v>Not cancelled</v>
      </c>
    </row>
    <row r="4" spans="1:13" x14ac:dyDescent="0.25">
      <c r="A4">
        <v>1003</v>
      </c>
      <c r="B4" t="s">
        <v>11</v>
      </c>
      <c r="C4">
        <v>1</v>
      </c>
      <c r="D4" t="s">
        <v>16</v>
      </c>
      <c r="E4" t="s">
        <v>17</v>
      </c>
      <c r="F4">
        <v>2</v>
      </c>
      <c r="G4">
        <v>2</v>
      </c>
      <c r="H4">
        <v>0</v>
      </c>
      <c r="I4">
        <v>0</v>
      </c>
      <c r="J4">
        <v>2</v>
      </c>
      <c r="K4">
        <v>193.87</v>
      </c>
      <c r="L4" t="str">
        <f t="shared" si="0"/>
        <v>Cancelled</v>
      </c>
    </row>
    <row r="5" spans="1:13" hidden="1" x14ac:dyDescent="0.25">
      <c r="A5">
        <v>1004</v>
      </c>
      <c r="B5" t="s">
        <v>11</v>
      </c>
      <c r="C5">
        <v>0</v>
      </c>
      <c r="D5" t="s">
        <v>18</v>
      </c>
      <c r="E5" t="s">
        <v>17</v>
      </c>
      <c r="F5">
        <v>2</v>
      </c>
      <c r="G5">
        <v>2</v>
      </c>
      <c r="H5">
        <v>0</v>
      </c>
      <c r="I5">
        <v>3</v>
      </c>
      <c r="J5">
        <v>3</v>
      </c>
      <c r="K5">
        <v>288.07</v>
      </c>
      <c r="L5" t="str">
        <f t="shared" si="0"/>
        <v>Not cancelled</v>
      </c>
    </row>
    <row r="6" spans="1:13" hidden="1" x14ac:dyDescent="0.25">
      <c r="A6">
        <v>1005</v>
      </c>
      <c r="B6" t="s">
        <v>11</v>
      </c>
      <c r="C6">
        <v>0</v>
      </c>
      <c r="D6" t="s">
        <v>19</v>
      </c>
      <c r="E6" t="s">
        <v>20</v>
      </c>
      <c r="F6">
        <v>1</v>
      </c>
      <c r="G6">
        <v>0</v>
      </c>
      <c r="H6">
        <v>0</v>
      </c>
      <c r="I6">
        <v>2</v>
      </c>
      <c r="J6">
        <v>2</v>
      </c>
      <c r="K6">
        <v>269.88</v>
      </c>
      <c r="L6" t="str">
        <f t="shared" si="0"/>
        <v>Not cancelled</v>
      </c>
    </row>
    <row r="7" spans="1:13" hidden="1" x14ac:dyDescent="0.25">
      <c r="A7">
        <v>1006</v>
      </c>
      <c r="B7" t="s">
        <v>11</v>
      </c>
      <c r="C7">
        <v>0</v>
      </c>
      <c r="D7" t="s">
        <v>12</v>
      </c>
      <c r="E7" t="s">
        <v>21</v>
      </c>
      <c r="F7">
        <v>2</v>
      </c>
      <c r="G7">
        <v>1</v>
      </c>
      <c r="H7">
        <v>0</v>
      </c>
      <c r="I7">
        <v>3</v>
      </c>
      <c r="J7">
        <v>4</v>
      </c>
      <c r="K7">
        <v>101.14</v>
      </c>
      <c r="L7" t="str">
        <f t="shared" si="0"/>
        <v>Not cancelled</v>
      </c>
    </row>
    <row r="8" spans="1:13" hidden="1" x14ac:dyDescent="0.25">
      <c r="A8">
        <v>1007</v>
      </c>
      <c r="B8" t="s">
        <v>11</v>
      </c>
      <c r="C8">
        <v>0</v>
      </c>
      <c r="D8" t="s">
        <v>12</v>
      </c>
      <c r="E8" t="s">
        <v>15</v>
      </c>
      <c r="F8">
        <v>2</v>
      </c>
      <c r="G8">
        <v>1</v>
      </c>
      <c r="H8">
        <v>0</v>
      </c>
      <c r="I8">
        <v>3</v>
      </c>
      <c r="J8">
        <v>7</v>
      </c>
      <c r="K8">
        <v>142.41</v>
      </c>
      <c r="L8" t="str">
        <f t="shared" si="0"/>
        <v>Not cancelled</v>
      </c>
    </row>
    <row r="9" spans="1:13" hidden="1" x14ac:dyDescent="0.25">
      <c r="A9">
        <v>1008</v>
      </c>
      <c r="B9" t="s">
        <v>11</v>
      </c>
      <c r="C9">
        <v>0</v>
      </c>
      <c r="D9" t="s">
        <v>22</v>
      </c>
      <c r="E9" t="s">
        <v>15</v>
      </c>
      <c r="F9">
        <v>1</v>
      </c>
      <c r="G9">
        <v>0</v>
      </c>
      <c r="H9">
        <v>0</v>
      </c>
      <c r="I9">
        <v>0</v>
      </c>
      <c r="J9">
        <v>2</v>
      </c>
      <c r="K9">
        <v>297.68</v>
      </c>
      <c r="L9" t="str">
        <f t="shared" si="0"/>
        <v>Not cancelled</v>
      </c>
    </row>
    <row r="10" spans="1:13" hidden="1" x14ac:dyDescent="0.25">
      <c r="A10">
        <v>1009</v>
      </c>
      <c r="B10" t="s">
        <v>23</v>
      </c>
      <c r="C10">
        <v>0</v>
      </c>
      <c r="D10" t="s">
        <v>18</v>
      </c>
      <c r="E10" t="s">
        <v>13</v>
      </c>
      <c r="F10">
        <v>3</v>
      </c>
      <c r="G10">
        <v>2</v>
      </c>
      <c r="H10">
        <v>0</v>
      </c>
      <c r="I10">
        <v>2</v>
      </c>
      <c r="J10">
        <v>3</v>
      </c>
      <c r="K10">
        <v>317.7</v>
      </c>
      <c r="L10" t="str">
        <f t="shared" si="0"/>
        <v>Not cancelled</v>
      </c>
    </row>
    <row r="11" spans="1:13" hidden="1" x14ac:dyDescent="0.25">
      <c r="A11">
        <v>1010</v>
      </c>
      <c r="B11" t="s">
        <v>23</v>
      </c>
      <c r="C11">
        <v>0</v>
      </c>
      <c r="D11" t="s">
        <v>19</v>
      </c>
      <c r="E11" t="s">
        <v>15</v>
      </c>
      <c r="F11">
        <v>3</v>
      </c>
      <c r="G11">
        <v>0</v>
      </c>
      <c r="H11">
        <v>0</v>
      </c>
      <c r="I11">
        <v>0</v>
      </c>
      <c r="J11">
        <v>3</v>
      </c>
      <c r="K11">
        <v>167.45</v>
      </c>
      <c r="L11" t="str">
        <f t="shared" si="0"/>
        <v>Not cancelled</v>
      </c>
    </row>
    <row r="12" spans="1:13" x14ac:dyDescent="0.25">
      <c r="A12">
        <v>1011</v>
      </c>
      <c r="B12" t="s">
        <v>23</v>
      </c>
      <c r="C12">
        <v>1</v>
      </c>
      <c r="D12" t="s">
        <v>18</v>
      </c>
      <c r="E12" t="s">
        <v>17</v>
      </c>
      <c r="F12">
        <v>3</v>
      </c>
      <c r="G12">
        <v>0</v>
      </c>
      <c r="H12">
        <v>0</v>
      </c>
      <c r="I12">
        <v>1</v>
      </c>
      <c r="J12">
        <v>7</v>
      </c>
      <c r="K12">
        <v>317.94</v>
      </c>
      <c r="L12" t="str">
        <f t="shared" si="0"/>
        <v>Cancelled</v>
      </c>
    </row>
    <row r="13" spans="1:13" hidden="1" x14ac:dyDescent="0.25">
      <c r="A13">
        <v>1012</v>
      </c>
      <c r="B13" t="s">
        <v>23</v>
      </c>
      <c r="C13">
        <v>0</v>
      </c>
      <c r="D13" t="s">
        <v>12</v>
      </c>
      <c r="E13" t="s">
        <v>17</v>
      </c>
      <c r="F13">
        <v>3</v>
      </c>
      <c r="G13">
        <v>0</v>
      </c>
      <c r="H13">
        <v>0</v>
      </c>
      <c r="I13">
        <v>2</v>
      </c>
      <c r="J13">
        <v>3</v>
      </c>
      <c r="K13">
        <v>70.14</v>
      </c>
      <c r="L13" t="str">
        <f t="shared" si="0"/>
        <v>Not cancelled</v>
      </c>
    </row>
    <row r="14" spans="1:13" hidden="1" x14ac:dyDescent="0.25">
      <c r="A14">
        <v>1013</v>
      </c>
      <c r="B14" t="s">
        <v>11</v>
      </c>
      <c r="C14">
        <v>0</v>
      </c>
      <c r="D14" t="s">
        <v>12</v>
      </c>
      <c r="E14" t="s">
        <v>24</v>
      </c>
      <c r="F14">
        <v>2</v>
      </c>
      <c r="G14">
        <v>0</v>
      </c>
      <c r="H14">
        <v>0</v>
      </c>
      <c r="I14">
        <v>3</v>
      </c>
      <c r="J14">
        <v>3</v>
      </c>
      <c r="K14">
        <v>94.78</v>
      </c>
      <c r="L14" t="str">
        <f t="shared" si="0"/>
        <v>Not cancelled</v>
      </c>
    </row>
    <row r="15" spans="1:13" hidden="1" x14ac:dyDescent="0.25">
      <c r="A15">
        <v>1014</v>
      </c>
      <c r="B15" t="s">
        <v>11</v>
      </c>
      <c r="C15">
        <v>0</v>
      </c>
      <c r="D15" t="s">
        <v>12</v>
      </c>
      <c r="E15" t="s">
        <v>25</v>
      </c>
      <c r="F15">
        <v>3</v>
      </c>
      <c r="G15">
        <v>0</v>
      </c>
      <c r="H15">
        <v>0</v>
      </c>
      <c r="I15">
        <v>2</v>
      </c>
      <c r="J15">
        <v>4</v>
      </c>
      <c r="K15">
        <v>116.69</v>
      </c>
      <c r="L15" t="str">
        <f t="shared" si="0"/>
        <v>Not cancelled</v>
      </c>
    </row>
    <row r="16" spans="1:13" hidden="1" x14ac:dyDescent="0.25">
      <c r="A16">
        <v>1015</v>
      </c>
      <c r="B16" t="s">
        <v>23</v>
      </c>
      <c r="C16">
        <v>0</v>
      </c>
      <c r="D16" t="s">
        <v>18</v>
      </c>
      <c r="E16" t="s">
        <v>17</v>
      </c>
      <c r="F16">
        <v>3</v>
      </c>
      <c r="G16">
        <v>0</v>
      </c>
      <c r="H16">
        <v>0</v>
      </c>
      <c r="I16">
        <v>0</v>
      </c>
      <c r="J16">
        <v>3</v>
      </c>
      <c r="K16">
        <v>240.04</v>
      </c>
      <c r="L16" t="str">
        <f t="shared" si="0"/>
        <v>Not cancelled</v>
      </c>
    </row>
    <row r="17" spans="1:12" hidden="1" x14ac:dyDescent="0.25">
      <c r="A17">
        <v>1016</v>
      </c>
      <c r="B17" t="s">
        <v>11</v>
      </c>
      <c r="C17">
        <v>0</v>
      </c>
      <c r="D17" t="s">
        <v>26</v>
      </c>
      <c r="E17" t="s">
        <v>17</v>
      </c>
      <c r="F17">
        <v>2</v>
      </c>
      <c r="G17">
        <v>0</v>
      </c>
      <c r="H17">
        <v>0</v>
      </c>
      <c r="I17">
        <v>0</v>
      </c>
      <c r="J17">
        <v>1</v>
      </c>
      <c r="K17">
        <v>121.14</v>
      </c>
      <c r="L17" t="str">
        <f t="shared" si="0"/>
        <v>Not cancelled</v>
      </c>
    </row>
    <row r="18" spans="1:12" hidden="1" x14ac:dyDescent="0.25">
      <c r="A18">
        <v>1017</v>
      </c>
      <c r="B18" t="s">
        <v>11</v>
      </c>
      <c r="C18">
        <v>0</v>
      </c>
      <c r="D18" t="s">
        <v>22</v>
      </c>
      <c r="E18" t="s">
        <v>15</v>
      </c>
      <c r="F18">
        <v>3</v>
      </c>
      <c r="G18">
        <v>0</v>
      </c>
      <c r="H18">
        <v>0</v>
      </c>
      <c r="I18">
        <v>1</v>
      </c>
      <c r="J18">
        <v>6</v>
      </c>
      <c r="K18">
        <v>221.04</v>
      </c>
      <c r="L18" t="str">
        <f t="shared" si="0"/>
        <v>Not cancelled</v>
      </c>
    </row>
    <row r="19" spans="1:12" hidden="1" x14ac:dyDescent="0.25">
      <c r="A19">
        <v>1018</v>
      </c>
      <c r="B19" t="s">
        <v>11</v>
      </c>
      <c r="C19">
        <v>0</v>
      </c>
      <c r="D19" t="s">
        <v>19</v>
      </c>
      <c r="E19" t="s">
        <v>17</v>
      </c>
      <c r="F19">
        <v>2</v>
      </c>
      <c r="G19">
        <v>1</v>
      </c>
      <c r="H19">
        <v>0</v>
      </c>
      <c r="I19">
        <v>2</v>
      </c>
      <c r="J19">
        <v>3</v>
      </c>
      <c r="K19">
        <v>249.92</v>
      </c>
      <c r="L19" t="str">
        <f t="shared" si="0"/>
        <v>Not cancelled</v>
      </c>
    </row>
    <row r="20" spans="1:12" hidden="1" x14ac:dyDescent="0.25">
      <c r="A20">
        <v>1019</v>
      </c>
      <c r="B20" t="s">
        <v>11</v>
      </c>
      <c r="C20">
        <v>0</v>
      </c>
      <c r="D20" t="s">
        <v>27</v>
      </c>
      <c r="E20" t="s">
        <v>15</v>
      </c>
      <c r="F20">
        <v>3</v>
      </c>
      <c r="G20">
        <v>0</v>
      </c>
      <c r="H20">
        <v>1</v>
      </c>
      <c r="I20">
        <v>2</v>
      </c>
      <c r="J20">
        <v>5</v>
      </c>
      <c r="K20">
        <v>182.36</v>
      </c>
      <c r="L20" t="str">
        <f t="shared" si="0"/>
        <v>Not cancelled</v>
      </c>
    </row>
    <row r="21" spans="1:12" x14ac:dyDescent="0.25">
      <c r="A21">
        <v>1020</v>
      </c>
      <c r="B21" t="s">
        <v>11</v>
      </c>
      <c r="C21">
        <v>1</v>
      </c>
      <c r="D21" t="s">
        <v>28</v>
      </c>
      <c r="E21" t="s">
        <v>15</v>
      </c>
      <c r="F21">
        <v>2</v>
      </c>
      <c r="G21">
        <v>1</v>
      </c>
      <c r="H21">
        <v>0</v>
      </c>
      <c r="I21">
        <v>0</v>
      </c>
      <c r="J21">
        <v>2</v>
      </c>
      <c r="K21">
        <v>144.84</v>
      </c>
      <c r="L21" t="str">
        <f t="shared" si="0"/>
        <v>Cancelled</v>
      </c>
    </row>
    <row r="22" spans="1:12" hidden="1" x14ac:dyDescent="0.25">
      <c r="A22">
        <v>1021</v>
      </c>
      <c r="B22" t="s">
        <v>11</v>
      </c>
      <c r="C22">
        <v>0</v>
      </c>
      <c r="D22" t="s">
        <v>27</v>
      </c>
      <c r="E22" t="s">
        <v>13</v>
      </c>
      <c r="F22">
        <v>1</v>
      </c>
      <c r="G22">
        <v>0</v>
      </c>
      <c r="H22">
        <v>0</v>
      </c>
      <c r="I22">
        <v>3</v>
      </c>
      <c r="J22">
        <v>2</v>
      </c>
      <c r="K22">
        <v>112.08</v>
      </c>
      <c r="L22" t="str">
        <f t="shared" si="0"/>
        <v>Not cancelled</v>
      </c>
    </row>
    <row r="23" spans="1:12" hidden="1" x14ac:dyDescent="0.25">
      <c r="A23">
        <v>1022</v>
      </c>
      <c r="B23" t="s">
        <v>23</v>
      </c>
      <c r="C23">
        <v>0</v>
      </c>
      <c r="D23" t="s">
        <v>12</v>
      </c>
      <c r="E23" t="s">
        <v>17</v>
      </c>
      <c r="F23">
        <v>1</v>
      </c>
      <c r="G23">
        <v>0</v>
      </c>
      <c r="H23">
        <v>0</v>
      </c>
      <c r="I23">
        <v>0</v>
      </c>
      <c r="J23">
        <v>7</v>
      </c>
      <c r="K23">
        <v>312.24</v>
      </c>
      <c r="L23" t="str">
        <f t="shared" si="0"/>
        <v>Not cancelled</v>
      </c>
    </row>
    <row r="24" spans="1:12" x14ac:dyDescent="0.25">
      <c r="A24">
        <v>1023</v>
      </c>
      <c r="B24" t="s">
        <v>23</v>
      </c>
      <c r="C24">
        <v>1</v>
      </c>
      <c r="D24" t="s">
        <v>12</v>
      </c>
      <c r="E24" t="s">
        <v>29</v>
      </c>
      <c r="F24">
        <v>3</v>
      </c>
      <c r="G24">
        <v>0</v>
      </c>
      <c r="H24">
        <v>0</v>
      </c>
      <c r="I24">
        <v>2</v>
      </c>
      <c r="J24">
        <v>3</v>
      </c>
      <c r="K24">
        <v>277.39</v>
      </c>
      <c r="L24" t="str">
        <f t="shared" si="0"/>
        <v>Cancelled</v>
      </c>
    </row>
    <row r="25" spans="1:12" x14ac:dyDescent="0.25">
      <c r="A25">
        <v>1024</v>
      </c>
      <c r="B25" t="s">
        <v>23</v>
      </c>
      <c r="C25">
        <v>1</v>
      </c>
      <c r="D25" t="s">
        <v>19</v>
      </c>
      <c r="E25" t="s">
        <v>17</v>
      </c>
      <c r="F25">
        <v>3</v>
      </c>
      <c r="G25">
        <v>0</v>
      </c>
      <c r="H25">
        <v>0</v>
      </c>
      <c r="I25">
        <v>2</v>
      </c>
      <c r="J25">
        <v>2</v>
      </c>
      <c r="K25">
        <v>173.8</v>
      </c>
      <c r="L25" t="str">
        <f t="shared" si="0"/>
        <v>Cancelled</v>
      </c>
    </row>
    <row r="26" spans="1:12" hidden="1" x14ac:dyDescent="0.25">
      <c r="A26">
        <v>1025</v>
      </c>
      <c r="B26" t="s">
        <v>11</v>
      </c>
      <c r="C26">
        <v>0</v>
      </c>
      <c r="D26" t="s">
        <v>30</v>
      </c>
      <c r="E26" t="s">
        <v>21</v>
      </c>
      <c r="F26">
        <v>1</v>
      </c>
      <c r="G26">
        <v>0</v>
      </c>
      <c r="H26">
        <v>0</v>
      </c>
      <c r="I26">
        <v>2</v>
      </c>
      <c r="J26">
        <v>6</v>
      </c>
      <c r="K26">
        <v>268.92</v>
      </c>
      <c r="L26" t="str">
        <f t="shared" si="0"/>
        <v>Not cancelled</v>
      </c>
    </row>
    <row r="27" spans="1:12" hidden="1" x14ac:dyDescent="0.25">
      <c r="A27">
        <v>1026</v>
      </c>
      <c r="B27" t="s">
        <v>23</v>
      </c>
      <c r="C27">
        <v>0</v>
      </c>
      <c r="D27" t="s">
        <v>12</v>
      </c>
      <c r="E27" t="s">
        <v>25</v>
      </c>
      <c r="F27">
        <v>2</v>
      </c>
      <c r="G27">
        <v>2</v>
      </c>
      <c r="H27">
        <v>0</v>
      </c>
      <c r="I27">
        <v>0</v>
      </c>
      <c r="J27">
        <v>6</v>
      </c>
      <c r="K27">
        <v>261.35000000000002</v>
      </c>
      <c r="L27" t="str">
        <f t="shared" si="0"/>
        <v>Not cancelled</v>
      </c>
    </row>
    <row r="28" spans="1:12" hidden="1" x14ac:dyDescent="0.25">
      <c r="A28">
        <v>1027</v>
      </c>
      <c r="B28" t="s">
        <v>23</v>
      </c>
      <c r="C28">
        <v>0</v>
      </c>
      <c r="D28" t="s">
        <v>26</v>
      </c>
      <c r="E28" t="s">
        <v>31</v>
      </c>
      <c r="F28">
        <v>3</v>
      </c>
      <c r="G28">
        <v>0</v>
      </c>
      <c r="H28">
        <v>0</v>
      </c>
      <c r="I28">
        <v>3</v>
      </c>
      <c r="J28">
        <v>1</v>
      </c>
      <c r="K28">
        <v>269</v>
      </c>
      <c r="L28" t="str">
        <f t="shared" si="0"/>
        <v>Not cancelled</v>
      </c>
    </row>
    <row r="29" spans="1:12" hidden="1" x14ac:dyDescent="0.25">
      <c r="A29">
        <v>1028</v>
      </c>
      <c r="B29" t="s">
        <v>11</v>
      </c>
      <c r="C29">
        <v>0</v>
      </c>
      <c r="D29" t="s">
        <v>27</v>
      </c>
      <c r="E29" t="s">
        <v>20</v>
      </c>
      <c r="F29">
        <v>2</v>
      </c>
      <c r="G29">
        <v>0</v>
      </c>
      <c r="H29">
        <v>0</v>
      </c>
      <c r="I29">
        <v>0</v>
      </c>
      <c r="J29">
        <v>5</v>
      </c>
      <c r="K29">
        <v>106.18</v>
      </c>
      <c r="L29" t="str">
        <f t="shared" si="0"/>
        <v>Not cancelled</v>
      </c>
    </row>
    <row r="30" spans="1:12" hidden="1" x14ac:dyDescent="0.25">
      <c r="A30">
        <v>1029</v>
      </c>
      <c r="B30" t="s">
        <v>11</v>
      </c>
      <c r="C30">
        <v>0</v>
      </c>
      <c r="D30" t="s">
        <v>12</v>
      </c>
      <c r="E30" t="s">
        <v>17</v>
      </c>
      <c r="F30">
        <v>3</v>
      </c>
      <c r="G30">
        <v>1</v>
      </c>
      <c r="H30">
        <v>0</v>
      </c>
      <c r="I30">
        <v>3</v>
      </c>
      <c r="J30">
        <v>5</v>
      </c>
      <c r="K30">
        <v>122.13</v>
      </c>
      <c r="L30" t="str">
        <f t="shared" si="0"/>
        <v>Not cancelled</v>
      </c>
    </row>
    <row r="31" spans="1:12" hidden="1" x14ac:dyDescent="0.25">
      <c r="A31">
        <v>1030</v>
      </c>
      <c r="B31" t="s">
        <v>11</v>
      </c>
      <c r="C31">
        <v>0</v>
      </c>
      <c r="D31" t="s">
        <v>18</v>
      </c>
      <c r="E31" t="s">
        <v>13</v>
      </c>
      <c r="F31">
        <v>3</v>
      </c>
      <c r="G31">
        <v>0</v>
      </c>
      <c r="H31">
        <v>0</v>
      </c>
      <c r="I31">
        <v>1</v>
      </c>
      <c r="J31">
        <v>1</v>
      </c>
      <c r="K31">
        <v>275.14</v>
      </c>
      <c r="L31" t="str">
        <f t="shared" si="0"/>
        <v>Not cancelled</v>
      </c>
    </row>
    <row r="32" spans="1:12" hidden="1" x14ac:dyDescent="0.25">
      <c r="A32">
        <v>1031</v>
      </c>
      <c r="B32" t="s">
        <v>23</v>
      </c>
      <c r="C32">
        <v>0</v>
      </c>
      <c r="D32" t="s">
        <v>30</v>
      </c>
      <c r="E32" t="s">
        <v>25</v>
      </c>
      <c r="F32">
        <v>3</v>
      </c>
      <c r="G32">
        <v>2</v>
      </c>
      <c r="H32">
        <v>1</v>
      </c>
      <c r="I32">
        <v>1</v>
      </c>
      <c r="J32">
        <v>1</v>
      </c>
      <c r="K32">
        <v>90.17</v>
      </c>
      <c r="L32" t="str">
        <f t="shared" si="0"/>
        <v>Not cancelled</v>
      </c>
    </row>
    <row r="33" spans="1:12" x14ac:dyDescent="0.25">
      <c r="A33">
        <v>1032</v>
      </c>
      <c r="B33" t="s">
        <v>11</v>
      </c>
      <c r="C33">
        <v>1</v>
      </c>
      <c r="D33" t="s">
        <v>27</v>
      </c>
      <c r="E33" t="s">
        <v>20</v>
      </c>
      <c r="F33">
        <v>1</v>
      </c>
      <c r="G33">
        <v>0</v>
      </c>
      <c r="H33">
        <v>0</v>
      </c>
      <c r="I33">
        <v>3</v>
      </c>
      <c r="J33">
        <v>3</v>
      </c>
      <c r="K33">
        <v>78.66</v>
      </c>
      <c r="L33" t="str">
        <f t="shared" si="0"/>
        <v>Cancelled</v>
      </c>
    </row>
    <row r="34" spans="1:12" hidden="1" x14ac:dyDescent="0.25">
      <c r="A34">
        <v>1033</v>
      </c>
      <c r="B34" t="s">
        <v>23</v>
      </c>
      <c r="C34">
        <v>0</v>
      </c>
      <c r="D34" t="s">
        <v>26</v>
      </c>
      <c r="E34" t="s">
        <v>17</v>
      </c>
      <c r="F34">
        <v>2</v>
      </c>
      <c r="G34">
        <v>2</v>
      </c>
      <c r="H34">
        <v>0</v>
      </c>
      <c r="I34">
        <v>3</v>
      </c>
      <c r="J34">
        <v>5</v>
      </c>
      <c r="K34">
        <v>75.38</v>
      </c>
      <c r="L34" t="str">
        <f t="shared" si="0"/>
        <v>Not cancelled</v>
      </c>
    </row>
    <row r="35" spans="1:12" hidden="1" x14ac:dyDescent="0.25">
      <c r="A35">
        <v>1034</v>
      </c>
      <c r="B35" t="s">
        <v>11</v>
      </c>
      <c r="C35">
        <v>0</v>
      </c>
      <c r="D35" t="s">
        <v>18</v>
      </c>
      <c r="E35" t="s">
        <v>17</v>
      </c>
      <c r="F35">
        <v>1</v>
      </c>
      <c r="G35">
        <v>0</v>
      </c>
      <c r="H35">
        <v>0</v>
      </c>
      <c r="I35">
        <v>1</v>
      </c>
      <c r="J35">
        <v>1</v>
      </c>
      <c r="K35">
        <v>280.79000000000002</v>
      </c>
      <c r="L35" t="str">
        <f t="shared" si="0"/>
        <v>Not cancelled</v>
      </c>
    </row>
    <row r="36" spans="1:12" x14ac:dyDescent="0.25">
      <c r="A36">
        <v>1035</v>
      </c>
      <c r="B36" t="s">
        <v>11</v>
      </c>
      <c r="C36">
        <v>1</v>
      </c>
      <c r="D36" t="s">
        <v>16</v>
      </c>
      <c r="E36" t="s">
        <v>20</v>
      </c>
      <c r="F36">
        <v>3</v>
      </c>
      <c r="G36">
        <v>0</v>
      </c>
      <c r="H36">
        <v>0</v>
      </c>
      <c r="I36">
        <v>1</v>
      </c>
      <c r="J36">
        <v>2</v>
      </c>
      <c r="K36">
        <v>110.33</v>
      </c>
      <c r="L36" t="str">
        <f t="shared" si="0"/>
        <v>Cancelled</v>
      </c>
    </row>
    <row r="37" spans="1:12" hidden="1" x14ac:dyDescent="0.25">
      <c r="A37">
        <v>1036</v>
      </c>
      <c r="B37" t="s">
        <v>11</v>
      </c>
      <c r="C37">
        <v>0</v>
      </c>
      <c r="D37" t="s">
        <v>22</v>
      </c>
      <c r="E37" t="s">
        <v>29</v>
      </c>
      <c r="F37">
        <v>2</v>
      </c>
      <c r="G37">
        <v>0</v>
      </c>
      <c r="H37">
        <v>0</v>
      </c>
      <c r="I37">
        <v>1</v>
      </c>
      <c r="J37">
        <v>7</v>
      </c>
      <c r="K37">
        <v>194.14</v>
      </c>
      <c r="L37" t="str">
        <f t="shared" si="0"/>
        <v>Not cancelled</v>
      </c>
    </row>
    <row r="38" spans="1:12" x14ac:dyDescent="0.25">
      <c r="A38">
        <v>1037</v>
      </c>
      <c r="B38" t="s">
        <v>11</v>
      </c>
      <c r="C38">
        <v>1</v>
      </c>
      <c r="D38" t="s">
        <v>14</v>
      </c>
      <c r="E38" t="s">
        <v>17</v>
      </c>
      <c r="F38">
        <v>1</v>
      </c>
      <c r="G38">
        <v>0</v>
      </c>
      <c r="H38">
        <v>0</v>
      </c>
      <c r="I38">
        <v>3</v>
      </c>
      <c r="J38">
        <v>7</v>
      </c>
      <c r="K38">
        <v>278.04000000000002</v>
      </c>
      <c r="L38" t="str">
        <f t="shared" si="0"/>
        <v>Cancelled</v>
      </c>
    </row>
    <row r="39" spans="1:12" hidden="1" x14ac:dyDescent="0.25">
      <c r="A39">
        <v>1038</v>
      </c>
      <c r="B39" t="s">
        <v>11</v>
      </c>
      <c r="C39">
        <v>0</v>
      </c>
      <c r="D39" t="s">
        <v>26</v>
      </c>
      <c r="E39" t="s">
        <v>13</v>
      </c>
      <c r="F39">
        <v>1</v>
      </c>
      <c r="G39">
        <v>0</v>
      </c>
      <c r="H39">
        <v>0</v>
      </c>
      <c r="I39">
        <v>0</v>
      </c>
      <c r="J39">
        <v>6</v>
      </c>
      <c r="K39">
        <v>288.19</v>
      </c>
      <c r="L39" t="str">
        <f t="shared" si="0"/>
        <v>Not cancelled</v>
      </c>
    </row>
    <row r="40" spans="1:12" hidden="1" x14ac:dyDescent="0.25">
      <c r="A40">
        <v>1039</v>
      </c>
      <c r="B40" t="s">
        <v>11</v>
      </c>
      <c r="C40">
        <v>0</v>
      </c>
      <c r="D40" t="s">
        <v>19</v>
      </c>
      <c r="E40" t="s">
        <v>17</v>
      </c>
      <c r="F40">
        <v>3</v>
      </c>
      <c r="G40">
        <v>0</v>
      </c>
      <c r="H40">
        <v>1</v>
      </c>
      <c r="I40">
        <v>0</v>
      </c>
      <c r="J40">
        <v>4</v>
      </c>
      <c r="K40">
        <v>228.48</v>
      </c>
      <c r="L40" t="str">
        <f t="shared" si="0"/>
        <v>Not cancelled</v>
      </c>
    </row>
    <row r="41" spans="1:12" hidden="1" x14ac:dyDescent="0.25">
      <c r="A41">
        <v>1040</v>
      </c>
      <c r="B41" t="s">
        <v>11</v>
      </c>
      <c r="C41">
        <v>0</v>
      </c>
      <c r="D41" t="s">
        <v>22</v>
      </c>
      <c r="E41" t="s">
        <v>17</v>
      </c>
      <c r="F41">
        <v>3</v>
      </c>
      <c r="G41">
        <v>0</v>
      </c>
      <c r="H41">
        <v>1</v>
      </c>
      <c r="I41">
        <v>1</v>
      </c>
      <c r="J41">
        <v>6</v>
      </c>
      <c r="K41">
        <v>190.56</v>
      </c>
      <c r="L41" t="str">
        <f t="shared" si="0"/>
        <v>Not cancelled</v>
      </c>
    </row>
    <row r="42" spans="1:12" hidden="1" x14ac:dyDescent="0.25">
      <c r="A42">
        <v>1041</v>
      </c>
      <c r="B42" t="s">
        <v>23</v>
      </c>
      <c r="C42">
        <v>0</v>
      </c>
      <c r="D42" t="s">
        <v>12</v>
      </c>
      <c r="E42" t="s">
        <v>20</v>
      </c>
      <c r="F42">
        <v>2</v>
      </c>
      <c r="G42">
        <v>1</v>
      </c>
      <c r="H42">
        <v>0</v>
      </c>
      <c r="I42">
        <v>0</v>
      </c>
      <c r="J42">
        <v>5</v>
      </c>
      <c r="K42">
        <v>186.35</v>
      </c>
      <c r="L42" t="str">
        <f t="shared" si="0"/>
        <v>Not cancelled</v>
      </c>
    </row>
    <row r="43" spans="1:12" hidden="1" x14ac:dyDescent="0.25">
      <c r="A43">
        <v>1042</v>
      </c>
      <c r="B43" t="s">
        <v>11</v>
      </c>
      <c r="C43">
        <v>0</v>
      </c>
      <c r="D43" t="s">
        <v>16</v>
      </c>
      <c r="E43" t="s">
        <v>17</v>
      </c>
      <c r="F43">
        <v>3</v>
      </c>
      <c r="G43">
        <v>0</v>
      </c>
      <c r="H43">
        <v>0</v>
      </c>
      <c r="I43">
        <v>2</v>
      </c>
      <c r="J43">
        <v>2</v>
      </c>
      <c r="K43">
        <v>252.86</v>
      </c>
      <c r="L43" t="str">
        <f t="shared" si="0"/>
        <v>Not cancelled</v>
      </c>
    </row>
    <row r="44" spans="1:12" hidden="1" x14ac:dyDescent="0.25">
      <c r="A44">
        <v>1043</v>
      </c>
      <c r="B44" t="s">
        <v>11</v>
      </c>
      <c r="C44">
        <v>0</v>
      </c>
      <c r="D44" t="s">
        <v>28</v>
      </c>
      <c r="E44" t="s">
        <v>29</v>
      </c>
      <c r="F44">
        <v>2</v>
      </c>
      <c r="G44">
        <v>1</v>
      </c>
      <c r="H44">
        <v>0</v>
      </c>
      <c r="I44">
        <v>3</v>
      </c>
      <c r="J44">
        <v>3</v>
      </c>
      <c r="K44">
        <v>85.81</v>
      </c>
      <c r="L44" t="str">
        <f t="shared" si="0"/>
        <v>Not cancelled</v>
      </c>
    </row>
    <row r="45" spans="1:12" hidden="1" x14ac:dyDescent="0.25">
      <c r="A45">
        <v>1044</v>
      </c>
      <c r="B45" t="s">
        <v>11</v>
      </c>
      <c r="C45">
        <v>0</v>
      </c>
      <c r="D45" t="s">
        <v>18</v>
      </c>
      <c r="E45" t="s">
        <v>17</v>
      </c>
      <c r="F45">
        <v>2</v>
      </c>
      <c r="G45">
        <v>0</v>
      </c>
      <c r="H45">
        <v>0</v>
      </c>
      <c r="I45">
        <v>1</v>
      </c>
      <c r="J45">
        <v>1</v>
      </c>
      <c r="K45">
        <v>85.99</v>
      </c>
      <c r="L45" t="str">
        <f t="shared" si="0"/>
        <v>Not cancelled</v>
      </c>
    </row>
    <row r="46" spans="1:12" x14ac:dyDescent="0.25">
      <c r="A46">
        <v>1045</v>
      </c>
      <c r="B46" t="s">
        <v>11</v>
      </c>
      <c r="C46">
        <v>1</v>
      </c>
      <c r="D46" t="s">
        <v>14</v>
      </c>
      <c r="E46" t="s">
        <v>13</v>
      </c>
      <c r="F46">
        <v>1</v>
      </c>
      <c r="G46">
        <v>1</v>
      </c>
      <c r="H46">
        <v>0</v>
      </c>
      <c r="I46">
        <v>2</v>
      </c>
      <c r="J46">
        <v>1</v>
      </c>
      <c r="K46">
        <v>82.51</v>
      </c>
      <c r="L46" t="str">
        <f t="shared" si="0"/>
        <v>Cancelled</v>
      </c>
    </row>
    <row r="47" spans="1:12" hidden="1" x14ac:dyDescent="0.25">
      <c r="A47">
        <v>1046</v>
      </c>
      <c r="B47" t="s">
        <v>11</v>
      </c>
      <c r="C47">
        <v>0</v>
      </c>
      <c r="D47" t="s">
        <v>28</v>
      </c>
      <c r="E47" t="s">
        <v>13</v>
      </c>
      <c r="F47">
        <v>3</v>
      </c>
      <c r="G47">
        <v>1</v>
      </c>
      <c r="H47">
        <v>0</v>
      </c>
      <c r="I47">
        <v>3</v>
      </c>
      <c r="J47">
        <v>4</v>
      </c>
      <c r="K47">
        <v>180.65</v>
      </c>
      <c r="L47" t="str">
        <f t="shared" si="0"/>
        <v>Not cancelled</v>
      </c>
    </row>
    <row r="48" spans="1:12" hidden="1" x14ac:dyDescent="0.25">
      <c r="A48">
        <v>1047</v>
      </c>
      <c r="B48" t="s">
        <v>23</v>
      </c>
      <c r="C48">
        <v>0</v>
      </c>
      <c r="D48" t="s">
        <v>32</v>
      </c>
      <c r="E48" t="s">
        <v>17</v>
      </c>
      <c r="F48">
        <v>1</v>
      </c>
      <c r="G48">
        <v>0</v>
      </c>
      <c r="H48">
        <v>0</v>
      </c>
      <c r="I48">
        <v>2</v>
      </c>
      <c r="J48">
        <v>3</v>
      </c>
      <c r="K48">
        <v>98.79</v>
      </c>
      <c r="L48" t="str">
        <f t="shared" si="0"/>
        <v>Not cancelled</v>
      </c>
    </row>
    <row r="49" spans="1:12" hidden="1" x14ac:dyDescent="0.25">
      <c r="A49">
        <v>1048</v>
      </c>
      <c r="B49" t="s">
        <v>11</v>
      </c>
      <c r="C49">
        <v>0</v>
      </c>
      <c r="D49" t="s">
        <v>12</v>
      </c>
      <c r="E49" t="s">
        <v>13</v>
      </c>
      <c r="F49">
        <v>1</v>
      </c>
      <c r="G49">
        <v>0</v>
      </c>
      <c r="H49">
        <v>0</v>
      </c>
      <c r="I49">
        <v>2</v>
      </c>
      <c r="J49">
        <v>7</v>
      </c>
      <c r="K49">
        <v>210.02</v>
      </c>
      <c r="L49" t="str">
        <f t="shared" si="0"/>
        <v>Not cancelled</v>
      </c>
    </row>
    <row r="50" spans="1:12" hidden="1" x14ac:dyDescent="0.25">
      <c r="A50">
        <v>1049</v>
      </c>
      <c r="B50" t="s">
        <v>11</v>
      </c>
      <c r="C50">
        <v>0</v>
      </c>
      <c r="D50" t="s">
        <v>19</v>
      </c>
      <c r="E50" t="s">
        <v>24</v>
      </c>
      <c r="F50">
        <v>1</v>
      </c>
      <c r="G50">
        <v>1</v>
      </c>
      <c r="H50">
        <v>1</v>
      </c>
      <c r="I50">
        <v>2</v>
      </c>
      <c r="J50">
        <v>7</v>
      </c>
      <c r="K50">
        <v>134.12</v>
      </c>
      <c r="L50" t="str">
        <f t="shared" si="0"/>
        <v>Not cancelled</v>
      </c>
    </row>
    <row r="51" spans="1:12" x14ac:dyDescent="0.25">
      <c r="A51">
        <v>1050</v>
      </c>
      <c r="B51" t="s">
        <v>23</v>
      </c>
      <c r="C51">
        <v>1</v>
      </c>
      <c r="D51" t="s">
        <v>22</v>
      </c>
      <c r="E51" t="s">
        <v>25</v>
      </c>
      <c r="F51">
        <v>3</v>
      </c>
      <c r="G51">
        <v>0</v>
      </c>
      <c r="H51">
        <v>0</v>
      </c>
      <c r="I51">
        <v>2</v>
      </c>
      <c r="J51">
        <v>5</v>
      </c>
      <c r="K51">
        <v>244.8</v>
      </c>
      <c r="L51" t="str">
        <f t="shared" si="0"/>
        <v>Cancelled</v>
      </c>
    </row>
    <row r="52" spans="1:12" hidden="1" x14ac:dyDescent="0.25">
      <c r="A52">
        <v>1051</v>
      </c>
      <c r="B52" t="s">
        <v>11</v>
      </c>
      <c r="C52">
        <v>0</v>
      </c>
      <c r="D52" t="s">
        <v>14</v>
      </c>
      <c r="E52" t="s">
        <v>20</v>
      </c>
      <c r="F52">
        <v>2</v>
      </c>
      <c r="G52">
        <v>0</v>
      </c>
      <c r="H52">
        <v>0</v>
      </c>
      <c r="I52">
        <v>2</v>
      </c>
      <c r="J52">
        <v>3</v>
      </c>
      <c r="K52">
        <v>86.43</v>
      </c>
      <c r="L52" t="str">
        <f t="shared" si="0"/>
        <v>Not cancelled</v>
      </c>
    </row>
    <row r="53" spans="1:12" hidden="1" x14ac:dyDescent="0.25">
      <c r="A53">
        <v>1052</v>
      </c>
      <c r="B53" t="s">
        <v>11</v>
      </c>
      <c r="C53">
        <v>0</v>
      </c>
      <c r="D53" t="s">
        <v>18</v>
      </c>
      <c r="E53" t="s">
        <v>29</v>
      </c>
      <c r="F53">
        <v>1</v>
      </c>
      <c r="G53">
        <v>1</v>
      </c>
      <c r="H53">
        <v>0</v>
      </c>
      <c r="I53">
        <v>0</v>
      </c>
      <c r="J53">
        <v>2</v>
      </c>
      <c r="K53">
        <v>166.88</v>
      </c>
      <c r="L53" t="str">
        <f t="shared" si="0"/>
        <v>Not cancelled</v>
      </c>
    </row>
    <row r="54" spans="1:12" x14ac:dyDescent="0.25">
      <c r="A54">
        <v>1053</v>
      </c>
      <c r="B54" t="s">
        <v>11</v>
      </c>
      <c r="C54">
        <v>1</v>
      </c>
      <c r="D54" t="s">
        <v>28</v>
      </c>
      <c r="E54" t="s">
        <v>13</v>
      </c>
      <c r="F54">
        <v>2</v>
      </c>
      <c r="G54">
        <v>0</v>
      </c>
      <c r="H54">
        <v>1</v>
      </c>
      <c r="I54">
        <v>1</v>
      </c>
      <c r="J54">
        <v>1</v>
      </c>
      <c r="K54">
        <v>56.25</v>
      </c>
      <c r="L54" t="str">
        <f t="shared" si="0"/>
        <v>Cancelled</v>
      </c>
    </row>
    <row r="55" spans="1:12" hidden="1" x14ac:dyDescent="0.25">
      <c r="A55">
        <v>1054</v>
      </c>
      <c r="B55" t="s">
        <v>23</v>
      </c>
      <c r="C55">
        <v>0</v>
      </c>
      <c r="D55" t="s">
        <v>16</v>
      </c>
      <c r="E55" t="s">
        <v>17</v>
      </c>
      <c r="F55">
        <v>3</v>
      </c>
      <c r="G55">
        <v>0</v>
      </c>
      <c r="H55">
        <v>0</v>
      </c>
      <c r="I55">
        <v>1</v>
      </c>
      <c r="J55">
        <v>1</v>
      </c>
      <c r="K55">
        <v>244.43</v>
      </c>
      <c r="L55" t="str">
        <f t="shared" si="0"/>
        <v>Not cancelled</v>
      </c>
    </row>
    <row r="56" spans="1:12" hidden="1" x14ac:dyDescent="0.25">
      <c r="A56">
        <v>1055</v>
      </c>
      <c r="B56" t="s">
        <v>11</v>
      </c>
      <c r="C56">
        <v>0</v>
      </c>
      <c r="D56" t="s">
        <v>33</v>
      </c>
      <c r="E56" t="s">
        <v>17</v>
      </c>
      <c r="F56">
        <v>2</v>
      </c>
      <c r="G56">
        <v>0</v>
      </c>
      <c r="H56">
        <v>0</v>
      </c>
      <c r="I56">
        <v>3</v>
      </c>
      <c r="J56">
        <v>2</v>
      </c>
      <c r="K56">
        <v>203.82</v>
      </c>
      <c r="L56" t="str">
        <f t="shared" si="0"/>
        <v>Not cancelled</v>
      </c>
    </row>
    <row r="57" spans="1:12" x14ac:dyDescent="0.25">
      <c r="A57">
        <v>1056</v>
      </c>
      <c r="B57" t="s">
        <v>23</v>
      </c>
      <c r="C57">
        <v>1</v>
      </c>
      <c r="D57" t="s">
        <v>12</v>
      </c>
      <c r="E57" t="s">
        <v>34</v>
      </c>
      <c r="F57">
        <v>1</v>
      </c>
      <c r="G57">
        <v>1</v>
      </c>
      <c r="H57">
        <v>0</v>
      </c>
      <c r="I57">
        <v>0</v>
      </c>
      <c r="J57">
        <v>5</v>
      </c>
      <c r="K57">
        <v>289.18</v>
      </c>
      <c r="L57" t="str">
        <f t="shared" si="0"/>
        <v>Cancelled</v>
      </c>
    </row>
    <row r="58" spans="1:12" hidden="1" x14ac:dyDescent="0.25">
      <c r="A58">
        <v>1057</v>
      </c>
      <c r="B58" t="s">
        <v>23</v>
      </c>
      <c r="C58">
        <v>0</v>
      </c>
      <c r="D58" t="s">
        <v>28</v>
      </c>
      <c r="E58" t="s">
        <v>34</v>
      </c>
      <c r="F58">
        <v>1</v>
      </c>
      <c r="G58">
        <v>0</v>
      </c>
      <c r="H58">
        <v>0</v>
      </c>
      <c r="I58">
        <v>1</v>
      </c>
      <c r="J58">
        <v>3</v>
      </c>
      <c r="K58">
        <v>139.61000000000001</v>
      </c>
      <c r="L58" t="str">
        <f t="shared" si="0"/>
        <v>Not cancelled</v>
      </c>
    </row>
    <row r="59" spans="1:12" hidden="1" x14ac:dyDescent="0.25">
      <c r="A59">
        <v>1058</v>
      </c>
      <c r="B59" t="s">
        <v>11</v>
      </c>
      <c r="C59">
        <v>0</v>
      </c>
      <c r="D59" t="s">
        <v>12</v>
      </c>
      <c r="E59" t="s">
        <v>15</v>
      </c>
      <c r="F59">
        <v>1</v>
      </c>
      <c r="G59">
        <v>0</v>
      </c>
      <c r="H59">
        <v>0</v>
      </c>
      <c r="I59">
        <v>1</v>
      </c>
      <c r="J59">
        <v>7</v>
      </c>
      <c r="K59">
        <v>254.17</v>
      </c>
      <c r="L59" t="str">
        <f t="shared" si="0"/>
        <v>Not cancelled</v>
      </c>
    </row>
    <row r="60" spans="1:12" x14ac:dyDescent="0.25">
      <c r="A60">
        <v>1059</v>
      </c>
      <c r="B60" t="s">
        <v>11</v>
      </c>
      <c r="C60">
        <v>1</v>
      </c>
      <c r="D60" t="s">
        <v>26</v>
      </c>
      <c r="E60" t="s">
        <v>17</v>
      </c>
      <c r="F60">
        <v>3</v>
      </c>
      <c r="G60">
        <v>1</v>
      </c>
      <c r="H60">
        <v>0</v>
      </c>
      <c r="I60">
        <v>3</v>
      </c>
      <c r="J60">
        <v>7</v>
      </c>
      <c r="K60">
        <v>51.23</v>
      </c>
      <c r="L60" t="str">
        <f t="shared" si="0"/>
        <v>Cancelled</v>
      </c>
    </row>
    <row r="61" spans="1:12" hidden="1" x14ac:dyDescent="0.25">
      <c r="A61">
        <v>1060</v>
      </c>
      <c r="B61" t="s">
        <v>11</v>
      </c>
      <c r="C61">
        <v>0</v>
      </c>
      <c r="D61" t="s">
        <v>32</v>
      </c>
      <c r="E61" t="s">
        <v>20</v>
      </c>
      <c r="F61">
        <v>1</v>
      </c>
      <c r="G61">
        <v>0</v>
      </c>
      <c r="H61">
        <v>0</v>
      </c>
      <c r="I61">
        <v>2</v>
      </c>
      <c r="J61">
        <v>5</v>
      </c>
      <c r="K61">
        <v>276.14999999999998</v>
      </c>
      <c r="L61" t="str">
        <f t="shared" si="0"/>
        <v>Not cancelled</v>
      </c>
    </row>
    <row r="62" spans="1:12" hidden="1" x14ac:dyDescent="0.25">
      <c r="A62">
        <v>1061</v>
      </c>
      <c r="B62" t="s">
        <v>11</v>
      </c>
      <c r="C62">
        <v>0</v>
      </c>
      <c r="D62" t="s">
        <v>30</v>
      </c>
      <c r="E62" t="s">
        <v>31</v>
      </c>
      <c r="F62">
        <v>1</v>
      </c>
      <c r="G62">
        <v>0</v>
      </c>
      <c r="H62">
        <v>0</v>
      </c>
      <c r="I62">
        <v>3</v>
      </c>
      <c r="J62">
        <v>4</v>
      </c>
      <c r="K62">
        <v>188.23</v>
      </c>
      <c r="L62" t="str">
        <f t="shared" si="0"/>
        <v>Not cancelled</v>
      </c>
    </row>
    <row r="63" spans="1:12" hidden="1" x14ac:dyDescent="0.25">
      <c r="A63">
        <v>1062</v>
      </c>
      <c r="B63" t="s">
        <v>23</v>
      </c>
      <c r="C63">
        <v>0</v>
      </c>
      <c r="D63" t="s">
        <v>26</v>
      </c>
      <c r="E63" t="s">
        <v>20</v>
      </c>
      <c r="F63">
        <v>2</v>
      </c>
      <c r="G63">
        <v>0</v>
      </c>
      <c r="H63">
        <v>0</v>
      </c>
      <c r="I63">
        <v>3</v>
      </c>
      <c r="J63">
        <v>4</v>
      </c>
      <c r="K63">
        <v>74.92</v>
      </c>
      <c r="L63" t="str">
        <f t="shared" si="0"/>
        <v>Not cancelled</v>
      </c>
    </row>
    <row r="64" spans="1:12" hidden="1" x14ac:dyDescent="0.25">
      <c r="A64">
        <v>1063</v>
      </c>
      <c r="B64" t="s">
        <v>11</v>
      </c>
      <c r="C64">
        <v>0</v>
      </c>
      <c r="D64" t="s">
        <v>22</v>
      </c>
      <c r="E64" t="s">
        <v>17</v>
      </c>
      <c r="F64">
        <v>2</v>
      </c>
      <c r="G64">
        <v>0</v>
      </c>
      <c r="H64">
        <v>0</v>
      </c>
      <c r="I64">
        <v>2</v>
      </c>
      <c r="J64">
        <v>1</v>
      </c>
      <c r="K64">
        <v>245.79</v>
      </c>
      <c r="L64" t="str">
        <f t="shared" si="0"/>
        <v>Not cancelled</v>
      </c>
    </row>
    <row r="65" spans="1:12" hidden="1" x14ac:dyDescent="0.25">
      <c r="A65">
        <v>1064</v>
      </c>
      <c r="B65" t="s">
        <v>11</v>
      </c>
      <c r="C65">
        <v>0</v>
      </c>
      <c r="D65" t="s">
        <v>27</v>
      </c>
      <c r="E65" t="s">
        <v>17</v>
      </c>
      <c r="F65">
        <v>1</v>
      </c>
      <c r="G65">
        <v>1</v>
      </c>
      <c r="H65">
        <v>0</v>
      </c>
      <c r="I65">
        <v>1</v>
      </c>
      <c r="J65">
        <v>4</v>
      </c>
      <c r="K65">
        <v>108.64</v>
      </c>
      <c r="L65" t="str">
        <f t="shared" si="0"/>
        <v>Not cancelled</v>
      </c>
    </row>
    <row r="66" spans="1:12" hidden="1" x14ac:dyDescent="0.25">
      <c r="A66">
        <v>1065</v>
      </c>
      <c r="B66" t="s">
        <v>23</v>
      </c>
      <c r="C66">
        <v>0</v>
      </c>
      <c r="D66" t="s">
        <v>26</v>
      </c>
      <c r="E66" t="s">
        <v>20</v>
      </c>
      <c r="F66">
        <v>1</v>
      </c>
      <c r="G66">
        <v>0</v>
      </c>
      <c r="H66">
        <v>0</v>
      </c>
      <c r="I66">
        <v>3</v>
      </c>
      <c r="J66">
        <v>3</v>
      </c>
      <c r="K66">
        <v>113.38</v>
      </c>
      <c r="L66" t="str">
        <f t="shared" si="0"/>
        <v>Not cancelled</v>
      </c>
    </row>
    <row r="67" spans="1:12" hidden="1" x14ac:dyDescent="0.25">
      <c r="A67">
        <v>1066</v>
      </c>
      <c r="B67" t="s">
        <v>11</v>
      </c>
      <c r="C67">
        <v>0</v>
      </c>
      <c r="D67" t="s">
        <v>16</v>
      </c>
      <c r="E67" t="s">
        <v>17</v>
      </c>
      <c r="F67">
        <v>1</v>
      </c>
      <c r="G67">
        <v>0</v>
      </c>
      <c r="H67">
        <v>0</v>
      </c>
      <c r="I67">
        <v>3</v>
      </c>
      <c r="J67">
        <v>2</v>
      </c>
      <c r="K67">
        <v>171.58</v>
      </c>
      <c r="L67" t="str">
        <f t="shared" ref="L67:L130" si="1">IF(C67=1,"Cancelled","Not cancelled")</f>
        <v>Not cancelled</v>
      </c>
    </row>
    <row r="68" spans="1:12" hidden="1" x14ac:dyDescent="0.25">
      <c r="A68">
        <v>1067</v>
      </c>
      <c r="B68" t="s">
        <v>23</v>
      </c>
      <c r="C68">
        <v>0</v>
      </c>
      <c r="D68" t="s">
        <v>12</v>
      </c>
      <c r="E68" t="s">
        <v>13</v>
      </c>
      <c r="F68">
        <v>2</v>
      </c>
      <c r="G68">
        <v>0</v>
      </c>
      <c r="H68">
        <v>0</v>
      </c>
      <c r="I68">
        <v>2</v>
      </c>
      <c r="J68">
        <v>4</v>
      </c>
      <c r="K68">
        <v>134.01</v>
      </c>
      <c r="L68" t="str">
        <f t="shared" si="1"/>
        <v>Not cancelled</v>
      </c>
    </row>
    <row r="69" spans="1:12" hidden="1" x14ac:dyDescent="0.25">
      <c r="A69">
        <v>1068</v>
      </c>
      <c r="B69" t="s">
        <v>23</v>
      </c>
      <c r="C69">
        <v>0</v>
      </c>
      <c r="D69" t="s">
        <v>14</v>
      </c>
      <c r="E69" t="s">
        <v>15</v>
      </c>
      <c r="F69">
        <v>2</v>
      </c>
      <c r="G69">
        <v>0</v>
      </c>
      <c r="H69">
        <v>0</v>
      </c>
      <c r="I69">
        <v>2</v>
      </c>
      <c r="J69">
        <v>2</v>
      </c>
      <c r="K69">
        <v>127.06</v>
      </c>
      <c r="L69" t="str">
        <f t="shared" si="1"/>
        <v>Not cancelled</v>
      </c>
    </row>
    <row r="70" spans="1:12" hidden="1" x14ac:dyDescent="0.25">
      <c r="A70">
        <v>1069</v>
      </c>
      <c r="B70" t="s">
        <v>11</v>
      </c>
      <c r="C70">
        <v>0</v>
      </c>
      <c r="D70" t="s">
        <v>22</v>
      </c>
      <c r="E70" t="s">
        <v>21</v>
      </c>
      <c r="F70">
        <v>3</v>
      </c>
      <c r="G70">
        <v>2</v>
      </c>
      <c r="H70">
        <v>0</v>
      </c>
      <c r="I70">
        <v>0</v>
      </c>
      <c r="J70">
        <v>7</v>
      </c>
      <c r="K70">
        <v>241.13</v>
      </c>
      <c r="L70" t="str">
        <f t="shared" si="1"/>
        <v>Not cancelled</v>
      </c>
    </row>
    <row r="71" spans="1:12" hidden="1" x14ac:dyDescent="0.25">
      <c r="A71">
        <v>1070</v>
      </c>
      <c r="B71" t="s">
        <v>11</v>
      </c>
      <c r="C71">
        <v>0</v>
      </c>
      <c r="D71" t="s">
        <v>26</v>
      </c>
      <c r="E71" t="s">
        <v>29</v>
      </c>
      <c r="F71">
        <v>2</v>
      </c>
      <c r="G71">
        <v>0</v>
      </c>
      <c r="H71">
        <v>0</v>
      </c>
      <c r="I71">
        <v>2</v>
      </c>
      <c r="J71">
        <v>3</v>
      </c>
      <c r="K71">
        <v>248.39</v>
      </c>
      <c r="L71" t="str">
        <f t="shared" si="1"/>
        <v>Not cancelled</v>
      </c>
    </row>
    <row r="72" spans="1:12" hidden="1" x14ac:dyDescent="0.25">
      <c r="A72">
        <v>1071</v>
      </c>
      <c r="B72" t="s">
        <v>23</v>
      </c>
      <c r="C72">
        <v>0</v>
      </c>
      <c r="D72" t="s">
        <v>33</v>
      </c>
      <c r="E72" t="s">
        <v>29</v>
      </c>
      <c r="F72">
        <v>1</v>
      </c>
      <c r="G72">
        <v>0</v>
      </c>
      <c r="H72">
        <v>0</v>
      </c>
      <c r="I72">
        <v>1</v>
      </c>
      <c r="J72">
        <v>3</v>
      </c>
      <c r="K72">
        <v>270.97000000000003</v>
      </c>
      <c r="L72" t="str">
        <f t="shared" si="1"/>
        <v>Not cancelled</v>
      </c>
    </row>
    <row r="73" spans="1:12" x14ac:dyDescent="0.25">
      <c r="A73">
        <v>1072</v>
      </c>
      <c r="B73" t="s">
        <v>11</v>
      </c>
      <c r="C73">
        <v>1</v>
      </c>
      <c r="D73" t="s">
        <v>12</v>
      </c>
      <c r="E73" t="s">
        <v>17</v>
      </c>
      <c r="F73">
        <v>1</v>
      </c>
      <c r="G73">
        <v>0</v>
      </c>
      <c r="H73">
        <v>0</v>
      </c>
      <c r="I73">
        <v>1</v>
      </c>
      <c r="J73">
        <v>1</v>
      </c>
      <c r="K73">
        <v>223.28</v>
      </c>
      <c r="L73" t="str">
        <f t="shared" si="1"/>
        <v>Cancelled</v>
      </c>
    </row>
    <row r="74" spans="1:12" x14ac:dyDescent="0.25">
      <c r="A74">
        <v>1073</v>
      </c>
      <c r="B74" t="s">
        <v>11</v>
      </c>
      <c r="C74">
        <v>1</v>
      </c>
      <c r="D74" t="s">
        <v>18</v>
      </c>
      <c r="E74" t="s">
        <v>21</v>
      </c>
      <c r="F74">
        <v>1</v>
      </c>
      <c r="G74">
        <v>1</v>
      </c>
      <c r="H74">
        <v>0</v>
      </c>
      <c r="I74">
        <v>3</v>
      </c>
      <c r="J74">
        <v>4</v>
      </c>
      <c r="K74">
        <v>55.38</v>
      </c>
      <c r="L74" t="str">
        <f t="shared" si="1"/>
        <v>Cancelled</v>
      </c>
    </row>
    <row r="75" spans="1:12" hidden="1" x14ac:dyDescent="0.25">
      <c r="A75">
        <v>1074</v>
      </c>
      <c r="B75" t="s">
        <v>11</v>
      </c>
      <c r="C75">
        <v>0</v>
      </c>
      <c r="D75" t="s">
        <v>26</v>
      </c>
      <c r="E75" t="s">
        <v>15</v>
      </c>
      <c r="F75">
        <v>2</v>
      </c>
      <c r="G75">
        <v>0</v>
      </c>
      <c r="H75">
        <v>1</v>
      </c>
      <c r="I75">
        <v>2</v>
      </c>
      <c r="J75">
        <v>6</v>
      </c>
      <c r="K75">
        <v>224.29</v>
      </c>
      <c r="L75" t="str">
        <f t="shared" si="1"/>
        <v>Not cancelled</v>
      </c>
    </row>
    <row r="76" spans="1:12" hidden="1" x14ac:dyDescent="0.25">
      <c r="A76">
        <v>1075</v>
      </c>
      <c r="B76" t="s">
        <v>23</v>
      </c>
      <c r="C76">
        <v>0</v>
      </c>
      <c r="D76" t="s">
        <v>22</v>
      </c>
      <c r="E76" t="s">
        <v>15</v>
      </c>
      <c r="F76">
        <v>1</v>
      </c>
      <c r="G76">
        <v>1</v>
      </c>
      <c r="H76">
        <v>0</v>
      </c>
      <c r="I76">
        <v>3</v>
      </c>
      <c r="J76">
        <v>3</v>
      </c>
      <c r="K76">
        <v>220.97</v>
      </c>
      <c r="L76" t="str">
        <f t="shared" si="1"/>
        <v>Not cancelled</v>
      </c>
    </row>
    <row r="77" spans="1:12" hidden="1" x14ac:dyDescent="0.25">
      <c r="A77">
        <v>1076</v>
      </c>
      <c r="B77" t="s">
        <v>11</v>
      </c>
      <c r="C77">
        <v>0</v>
      </c>
      <c r="D77" t="s">
        <v>18</v>
      </c>
      <c r="E77" t="s">
        <v>15</v>
      </c>
      <c r="F77">
        <v>3</v>
      </c>
      <c r="G77">
        <v>0</v>
      </c>
      <c r="H77">
        <v>0</v>
      </c>
      <c r="I77">
        <v>3</v>
      </c>
      <c r="J77">
        <v>2</v>
      </c>
      <c r="K77">
        <v>142.61000000000001</v>
      </c>
      <c r="L77" t="str">
        <f t="shared" si="1"/>
        <v>Not cancelled</v>
      </c>
    </row>
    <row r="78" spans="1:12" hidden="1" x14ac:dyDescent="0.25">
      <c r="A78">
        <v>1077</v>
      </c>
      <c r="B78" t="s">
        <v>11</v>
      </c>
      <c r="C78">
        <v>0</v>
      </c>
      <c r="D78" t="s">
        <v>26</v>
      </c>
      <c r="E78" t="s">
        <v>29</v>
      </c>
      <c r="F78">
        <v>2</v>
      </c>
      <c r="G78">
        <v>0</v>
      </c>
      <c r="H78">
        <v>0</v>
      </c>
      <c r="I78">
        <v>1</v>
      </c>
      <c r="J78">
        <v>7</v>
      </c>
      <c r="K78">
        <v>261.52</v>
      </c>
      <c r="L78" t="str">
        <f t="shared" si="1"/>
        <v>Not cancelled</v>
      </c>
    </row>
    <row r="79" spans="1:12" x14ac:dyDescent="0.25">
      <c r="A79">
        <v>1078</v>
      </c>
      <c r="B79" t="s">
        <v>11</v>
      </c>
      <c r="C79">
        <v>1</v>
      </c>
      <c r="D79" t="s">
        <v>28</v>
      </c>
      <c r="E79" t="s">
        <v>17</v>
      </c>
      <c r="F79">
        <v>1</v>
      </c>
      <c r="G79">
        <v>1</v>
      </c>
      <c r="H79">
        <v>0</v>
      </c>
      <c r="I79">
        <v>3</v>
      </c>
      <c r="J79">
        <v>4</v>
      </c>
      <c r="K79">
        <v>245.16</v>
      </c>
      <c r="L79" t="str">
        <f t="shared" si="1"/>
        <v>Cancelled</v>
      </c>
    </row>
    <row r="80" spans="1:12" hidden="1" x14ac:dyDescent="0.25">
      <c r="A80">
        <v>1079</v>
      </c>
      <c r="B80" t="s">
        <v>11</v>
      </c>
      <c r="C80">
        <v>0</v>
      </c>
      <c r="D80" t="s">
        <v>16</v>
      </c>
      <c r="E80" t="s">
        <v>13</v>
      </c>
      <c r="F80">
        <v>3</v>
      </c>
      <c r="G80">
        <v>1</v>
      </c>
      <c r="H80">
        <v>0</v>
      </c>
      <c r="I80">
        <v>3</v>
      </c>
      <c r="J80">
        <v>2</v>
      </c>
      <c r="K80">
        <v>266.60000000000002</v>
      </c>
      <c r="L80" t="str">
        <f t="shared" si="1"/>
        <v>Not cancelled</v>
      </c>
    </row>
    <row r="81" spans="1:12" hidden="1" x14ac:dyDescent="0.25">
      <c r="A81">
        <v>1080</v>
      </c>
      <c r="B81" t="s">
        <v>11</v>
      </c>
      <c r="C81">
        <v>0</v>
      </c>
      <c r="D81" t="s">
        <v>14</v>
      </c>
      <c r="E81" t="s">
        <v>13</v>
      </c>
      <c r="F81">
        <v>1</v>
      </c>
      <c r="G81">
        <v>0</v>
      </c>
      <c r="H81">
        <v>0</v>
      </c>
      <c r="I81">
        <v>0</v>
      </c>
      <c r="J81">
        <v>6</v>
      </c>
      <c r="K81">
        <v>162.19999999999999</v>
      </c>
      <c r="L81" t="str">
        <f t="shared" si="1"/>
        <v>Not cancelled</v>
      </c>
    </row>
    <row r="82" spans="1:12" hidden="1" x14ac:dyDescent="0.25">
      <c r="A82">
        <v>1081</v>
      </c>
      <c r="B82" t="s">
        <v>11</v>
      </c>
      <c r="C82">
        <v>0</v>
      </c>
      <c r="D82" t="s">
        <v>26</v>
      </c>
      <c r="E82" t="s">
        <v>17</v>
      </c>
      <c r="F82">
        <v>2</v>
      </c>
      <c r="G82">
        <v>0</v>
      </c>
      <c r="H82">
        <v>0</v>
      </c>
      <c r="I82">
        <v>1</v>
      </c>
      <c r="J82">
        <v>2</v>
      </c>
      <c r="K82">
        <v>287.62</v>
      </c>
      <c r="L82" t="str">
        <f t="shared" si="1"/>
        <v>Not cancelled</v>
      </c>
    </row>
    <row r="83" spans="1:12" hidden="1" x14ac:dyDescent="0.25">
      <c r="A83">
        <v>1082</v>
      </c>
      <c r="B83" t="s">
        <v>11</v>
      </c>
      <c r="C83">
        <v>0</v>
      </c>
      <c r="D83" t="s">
        <v>26</v>
      </c>
      <c r="E83" t="s">
        <v>17</v>
      </c>
      <c r="F83">
        <v>3</v>
      </c>
      <c r="G83">
        <v>0</v>
      </c>
      <c r="H83">
        <v>0</v>
      </c>
      <c r="I83">
        <v>3</v>
      </c>
      <c r="J83">
        <v>7</v>
      </c>
      <c r="K83">
        <v>258.36</v>
      </c>
      <c r="L83" t="str">
        <f t="shared" si="1"/>
        <v>Not cancelled</v>
      </c>
    </row>
    <row r="84" spans="1:12" hidden="1" x14ac:dyDescent="0.25">
      <c r="A84">
        <v>1083</v>
      </c>
      <c r="B84" t="s">
        <v>11</v>
      </c>
      <c r="C84">
        <v>0</v>
      </c>
      <c r="D84" t="s">
        <v>19</v>
      </c>
      <c r="E84" t="s">
        <v>29</v>
      </c>
      <c r="F84">
        <v>3</v>
      </c>
      <c r="G84">
        <v>0</v>
      </c>
      <c r="H84">
        <v>0</v>
      </c>
      <c r="I84">
        <v>0</v>
      </c>
      <c r="J84">
        <v>2</v>
      </c>
      <c r="K84">
        <v>275.44</v>
      </c>
      <c r="L84" t="str">
        <f t="shared" si="1"/>
        <v>Not cancelled</v>
      </c>
    </row>
    <row r="85" spans="1:12" hidden="1" x14ac:dyDescent="0.25">
      <c r="A85">
        <v>1084</v>
      </c>
      <c r="B85" t="s">
        <v>11</v>
      </c>
      <c r="C85">
        <v>0</v>
      </c>
      <c r="D85" t="s">
        <v>14</v>
      </c>
      <c r="E85" t="s">
        <v>17</v>
      </c>
      <c r="F85">
        <v>2</v>
      </c>
      <c r="G85">
        <v>0</v>
      </c>
      <c r="H85">
        <v>0</v>
      </c>
      <c r="I85">
        <v>2</v>
      </c>
      <c r="J85">
        <v>1</v>
      </c>
      <c r="K85">
        <v>291.7</v>
      </c>
      <c r="L85" t="str">
        <f t="shared" si="1"/>
        <v>Not cancelled</v>
      </c>
    </row>
    <row r="86" spans="1:12" x14ac:dyDescent="0.25">
      <c r="A86">
        <v>1085</v>
      </c>
      <c r="B86" t="s">
        <v>23</v>
      </c>
      <c r="C86">
        <v>1</v>
      </c>
      <c r="D86" t="s">
        <v>28</v>
      </c>
      <c r="E86" t="s">
        <v>13</v>
      </c>
      <c r="F86">
        <v>1</v>
      </c>
      <c r="G86">
        <v>1</v>
      </c>
      <c r="H86">
        <v>0</v>
      </c>
      <c r="I86">
        <v>2</v>
      </c>
      <c r="J86">
        <v>1</v>
      </c>
      <c r="K86">
        <v>287.07</v>
      </c>
      <c r="L86" t="str">
        <f t="shared" si="1"/>
        <v>Cancelled</v>
      </c>
    </row>
    <row r="87" spans="1:12" hidden="1" x14ac:dyDescent="0.25">
      <c r="A87">
        <v>1086</v>
      </c>
      <c r="B87" t="s">
        <v>11</v>
      </c>
      <c r="C87">
        <v>0</v>
      </c>
      <c r="D87" t="s">
        <v>30</v>
      </c>
      <c r="E87" t="s">
        <v>25</v>
      </c>
      <c r="F87">
        <v>1</v>
      </c>
      <c r="G87">
        <v>0</v>
      </c>
      <c r="H87">
        <v>0</v>
      </c>
      <c r="I87">
        <v>1</v>
      </c>
      <c r="J87">
        <v>4</v>
      </c>
      <c r="K87">
        <v>198.38</v>
      </c>
      <c r="L87" t="str">
        <f t="shared" si="1"/>
        <v>Not cancelled</v>
      </c>
    </row>
    <row r="88" spans="1:12" hidden="1" x14ac:dyDescent="0.25">
      <c r="A88">
        <v>1087</v>
      </c>
      <c r="B88" t="s">
        <v>11</v>
      </c>
      <c r="C88">
        <v>0</v>
      </c>
      <c r="D88" t="s">
        <v>12</v>
      </c>
      <c r="E88" t="s">
        <v>13</v>
      </c>
      <c r="F88">
        <v>2</v>
      </c>
      <c r="G88">
        <v>2</v>
      </c>
      <c r="H88">
        <v>0</v>
      </c>
      <c r="I88">
        <v>1</v>
      </c>
      <c r="J88">
        <v>4</v>
      </c>
      <c r="K88">
        <v>83.2</v>
      </c>
      <c r="L88" t="str">
        <f t="shared" si="1"/>
        <v>Not cancelled</v>
      </c>
    </row>
    <row r="89" spans="1:12" hidden="1" x14ac:dyDescent="0.25">
      <c r="A89">
        <v>1088</v>
      </c>
      <c r="B89" t="s">
        <v>11</v>
      </c>
      <c r="C89">
        <v>0</v>
      </c>
      <c r="D89" t="s">
        <v>19</v>
      </c>
      <c r="E89" t="s">
        <v>21</v>
      </c>
      <c r="F89">
        <v>2</v>
      </c>
      <c r="G89">
        <v>2</v>
      </c>
      <c r="H89">
        <v>0</v>
      </c>
      <c r="I89">
        <v>2</v>
      </c>
      <c r="J89">
        <v>1</v>
      </c>
      <c r="K89">
        <v>213.5</v>
      </c>
      <c r="L89" t="str">
        <f t="shared" si="1"/>
        <v>Not cancelled</v>
      </c>
    </row>
    <row r="90" spans="1:12" x14ac:dyDescent="0.25">
      <c r="A90">
        <v>1089</v>
      </c>
      <c r="B90" t="s">
        <v>11</v>
      </c>
      <c r="C90">
        <v>1</v>
      </c>
      <c r="D90" t="s">
        <v>14</v>
      </c>
      <c r="E90" t="s">
        <v>13</v>
      </c>
      <c r="F90">
        <v>3</v>
      </c>
      <c r="G90">
        <v>0</v>
      </c>
      <c r="H90">
        <v>0</v>
      </c>
      <c r="I90">
        <v>1</v>
      </c>
      <c r="J90">
        <v>4</v>
      </c>
      <c r="K90">
        <v>81.89</v>
      </c>
      <c r="L90" t="str">
        <f t="shared" si="1"/>
        <v>Cancelled</v>
      </c>
    </row>
    <row r="91" spans="1:12" hidden="1" x14ac:dyDescent="0.25">
      <c r="A91">
        <v>1090</v>
      </c>
      <c r="B91" t="s">
        <v>11</v>
      </c>
      <c r="C91">
        <v>0</v>
      </c>
      <c r="D91" t="s">
        <v>32</v>
      </c>
      <c r="E91" t="s">
        <v>13</v>
      </c>
      <c r="F91">
        <v>2</v>
      </c>
      <c r="G91">
        <v>2</v>
      </c>
      <c r="H91">
        <v>0</v>
      </c>
      <c r="I91">
        <v>2</v>
      </c>
      <c r="J91">
        <v>5</v>
      </c>
      <c r="K91">
        <v>258.69</v>
      </c>
      <c r="L91" t="str">
        <f t="shared" si="1"/>
        <v>Not cancelled</v>
      </c>
    </row>
    <row r="92" spans="1:12" hidden="1" x14ac:dyDescent="0.25">
      <c r="A92">
        <v>1091</v>
      </c>
      <c r="B92" t="s">
        <v>11</v>
      </c>
      <c r="C92">
        <v>0</v>
      </c>
      <c r="D92" t="s">
        <v>32</v>
      </c>
      <c r="E92" t="s">
        <v>17</v>
      </c>
      <c r="F92">
        <v>2</v>
      </c>
      <c r="G92">
        <v>0</v>
      </c>
      <c r="H92">
        <v>0</v>
      </c>
      <c r="I92">
        <v>3</v>
      </c>
      <c r="J92">
        <v>6</v>
      </c>
      <c r="K92">
        <v>159.16999999999999</v>
      </c>
      <c r="L92" t="str">
        <f t="shared" si="1"/>
        <v>Not cancelled</v>
      </c>
    </row>
    <row r="93" spans="1:12" hidden="1" x14ac:dyDescent="0.25">
      <c r="A93">
        <v>1092</v>
      </c>
      <c r="B93" t="s">
        <v>11</v>
      </c>
      <c r="C93">
        <v>0</v>
      </c>
      <c r="D93" t="s">
        <v>32</v>
      </c>
      <c r="E93" t="s">
        <v>15</v>
      </c>
      <c r="F93">
        <v>3</v>
      </c>
      <c r="G93">
        <v>1</v>
      </c>
      <c r="H93">
        <v>0</v>
      </c>
      <c r="I93">
        <v>1</v>
      </c>
      <c r="J93">
        <v>2</v>
      </c>
      <c r="K93">
        <v>288.48</v>
      </c>
      <c r="L93" t="str">
        <f t="shared" si="1"/>
        <v>Not cancelled</v>
      </c>
    </row>
    <row r="94" spans="1:12" hidden="1" x14ac:dyDescent="0.25">
      <c r="A94">
        <v>1093</v>
      </c>
      <c r="B94" t="s">
        <v>11</v>
      </c>
      <c r="C94">
        <v>0</v>
      </c>
      <c r="D94" t="s">
        <v>32</v>
      </c>
      <c r="E94" t="s">
        <v>34</v>
      </c>
      <c r="F94">
        <v>3</v>
      </c>
      <c r="G94">
        <v>0</v>
      </c>
      <c r="H94">
        <v>0</v>
      </c>
      <c r="I94">
        <v>0</v>
      </c>
      <c r="J94">
        <v>6</v>
      </c>
      <c r="K94">
        <v>95.13</v>
      </c>
      <c r="L94" t="str">
        <f t="shared" si="1"/>
        <v>Not cancelled</v>
      </c>
    </row>
    <row r="95" spans="1:12" hidden="1" x14ac:dyDescent="0.25">
      <c r="A95">
        <v>1094</v>
      </c>
      <c r="B95" t="s">
        <v>11</v>
      </c>
      <c r="C95">
        <v>0</v>
      </c>
      <c r="D95" t="s">
        <v>30</v>
      </c>
      <c r="E95" t="s">
        <v>17</v>
      </c>
      <c r="F95">
        <v>3</v>
      </c>
      <c r="G95">
        <v>0</v>
      </c>
      <c r="H95">
        <v>0</v>
      </c>
      <c r="I95">
        <v>1</v>
      </c>
      <c r="J95">
        <v>2</v>
      </c>
      <c r="K95">
        <v>160.72999999999999</v>
      </c>
      <c r="L95" t="str">
        <f t="shared" si="1"/>
        <v>Not cancelled</v>
      </c>
    </row>
    <row r="96" spans="1:12" hidden="1" x14ac:dyDescent="0.25">
      <c r="A96">
        <v>1095</v>
      </c>
      <c r="B96" t="s">
        <v>11</v>
      </c>
      <c r="C96">
        <v>0</v>
      </c>
      <c r="D96" t="s">
        <v>28</v>
      </c>
      <c r="E96" t="s">
        <v>25</v>
      </c>
      <c r="F96">
        <v>3</v>
      </c>
      <c r="G96">
        <v>0</v>
      </c>
      <c r="H96">
        <v>0</v>
      </c>
      <c r="I96">
        <v>3</v>
      </c>
      <c r="J96">
        <v>4</v>
      </c>
      <c r="K96">
        <v>208.6</v>
      </c>
      <c r="L96" t="str">
        <f t="shared" si="1"/>
        <v>Not cancelled</v>
      </c>
    </row>
    <row r="97" spans="1:12" hidden="1" x14ac:dyDescent="0.25">
      <c r="A97">
        <v>1096</v>
      </c>
      <c r="B97" t="s">
        <v>23</v>
      </c>
      <c r="C97">
        <v>0</v>
      </c>
      <c r="D97" t="s">
        <v>26</v>
      </c>
      <c r="E97" t="s">
        <v>13</v>
      </c>
      <c r="F97">
        <v>1</v>
      </c>
      <c r="G97">
        <v>0</v>
      </c>
      <c r="H97">
        <v>0</v>
      </c>
      <c r="I97">
        <v>3</v>
      </c>
      <c r="J97">
        <v>1</v>
      </c>
      <c r="K97">
        <v>82.78</v>
      </c>
      <c r="L97" t="str">
        <f t="shared" si="1"/>
        <v>Not cancelled</v>
      </c>
    </row>
    <row r="98" spans="1:12" x14ac:dyDescent="0.25">
      <c r="A98">
        <v>1097</v>
      </c>
      <c r="B98" t="s">
        <v>11</v>
      </c>
      <c r="C98">
        <v>1</v>
      </c>
      <c r="D98" t="s">
        <v>12</v>
      </c>
      <c r="E98" t="s">
        <v>13</v>
      </c>
      <c r="F98">
        <v>3</v>
      </c>
      <c r="G98">
        <v>1</v>
      </c>
      <c r="H98">
        <v>0</v>
      </c>
      <c r="I98">
        <v>3</v>
      </c>
      <c r="J98">
        <v>5</v>
      </c>
      <c r="K98">
        <v>55.29</v>
      </c>
      <c r="L98" t="str">
        <f t="shared" si="1"/>
        <v>Cancelled</v>
      </c>
    </row>
    <row r="99" spans="1:12" x14ac:dyDescent="0.25">
      <c r="A99">
        <v>1098</v>
      </c>
      <c r="B99" t="s">
        <v>23</v>
      </c>
      <c r="C99">
        <v>1</v>
      </c>
      <c r="D99" t="s">
        <v>32</v>
      </c>
      <c r="E99" t="s">
        <v>17</v>
      </c>
      <c r="F99">
        <v>1</v>
      </c>
      <c r="G99">
        <v>0</v>
      </c>
      <c r="H99">
        <v>0</v>
      </c>
      <c r="I99">
        <v>3</v>
      </c>
      <c r="J99">
        <v>2</v>
      </c>
      <c r="K99">
        <v>122.64</v>
      </c>
      <c r="L99" t="str">
        <f t="shared" si="1"/>
        <v>Cancelled</v>
      </c>
    </row>
    <row r="100" spans="1:12" hidden="1" x14ac:dyDescent="0.25">
      <c r="A100">
        <v>1099</v>
      </c>
      <c r="B100" t="s">
        <v>23</v>
      </c>
      <c r="C100">
        <v>0</v>
      </c>
      <c r="D100" t="s">
        <v>30</v>
      </c>
      <c r="E100" t="s">
        <v>13</v>
      </c>
      <c r="F100">
        <v>2</v>
      </c>
      <c r="G100">
        <v>1</v>
      </c>
      <c r="H100">
        <v>0</v>
      </c>
      <c r="I100">
        <v>0</v>
      </c>
      <c r="J100">
        <v>6</v>
      </c>
      <c r="K100">
        <v>130.88999999999999</v>
      </c>
      <c r="L100" t="str">
        <f t="shared" si="1"/>
        <v>Not cancelled</v>
      </c>
    </row>
    <row r="101" spans="1:12" hidden="1" x14ac:dyDescent="0.25">
      <c r="A101">
        <v>1100</v>
      </c>
      <c r="B101" t="s">
        <v>23</v>
      </c>
      <c r="C101">
        <v>0</v>
      </c>
      <c r="D101" t="s">
        <v>16</v>
      </c>
      <c r="E101" t="s">
        <v>20</v>
      </c>
      <c r="F101">
        <v>1</v>
      </c>
      <c r="G101">
        <v>0</v>
      </c>
      <c r="H101">
        <v>0</v>
      </c>
      <c r="I101">
        <v>3</v>
      </c>
      <c r="J101">
        <v>6</v>
      </c>
      <c r="K101">
        <v>106.3</v>
      </c>
      <c r="L101" t="str">
        <f t="shared" si="1"/>
        <v>Not cancelled</v>
      </c>
    </row>
    <row r="102" spans="1:12" hidden="1" x14ac:dyDescent="0.25">
      <c r="A102">
        <v>1101</v>
      </c>
      <c r="B102" t="s">
        <v>11</v>
      </c>
      <c r="C102">
        <v>0</v>
      </c>
      <c r="D102" t="s">
        <v>18</v>
      </c>
      <c r="E102" t="s">
        <v>17</v>
      </c>
      <c r="F102">
        <v>1</v>
      </c>
      <c r="G102">
        <v>0</v>
      </c>
      <c r="H102">
        <v>0</v>
      </c>
      <c r="I102">
        <v>3</v>
      </c>
      <c r="J102">
        <v>2</v>
      </c>
      <c r="K102">
        <v>77.14</v>
      </c>
      <c r="L102" t="str">
        <f t="shared" si="1"/>
        <v>Not cancelled</v>
      </c>
    </row>
    <row r="103" spans="1:12" x14ac:dyDescent="0.25">
      <c r="A103">
        <v>1102</v>
      </c>
      <c r="B103" t="s">
        <v>11</v>
      </c>
      <c r="C103">
        <v>1</v>
      </c>
      <c r="D103" t="s">
        <v>12</v>
      </c>
      <c r="E103" t="s">
        <v>31</v>
      </c>
      <c r="F103">
        <v>3</v>
      </c>
      <c r="G103">
        <v>0</v>
      </c>
      <c r="H103">
        <v>0</v>
      </c>
      <c r="I103">
        <v>0</v>
      </c>
      <c r="J103">
        <v>2</v>
      </c>
      <c r="K103">
        <v>290.82</v>
      </c>
      <c r="L103" t="str">
        <f t="shared" si="1"/>
        <v>Cancelled</v>
      </c>
    </row>
    <row r="104" spans="1:12" hidden="1" x14ac:dyDescent="0.25">
      <c r="A104">
        <v>1103</v>
      </c>
      <c r="B104" t="s">
        <v>23</v>
      </c>
      <c r="C104">
        <v>0</v>
      </c>
      <c r="D104" t="s">
        <v>12</v>
      </c>
      <c r="E104" t="s">
        <v>21</v>
      </c>
      <c r="F104">
        <v>2</v>
      </c>
      <c r="G104">
        <v>0</v>
      </c>
      <c r="H104">
        <v>0</v>
      </c>
      <c r="I104">
        <v>0</v>
      </c>
      <c r="J104">
        <v>7</v>
      </c>
      <c r="K104">
        <v>180.68</v>
      </c>
      <c r="L104" t="str">
        <f t="shared" si="1"/>
        <v>Not cancelled</v>
      </c>
    </row>
    <row r="105" spans="1:12" x14ac:dyDescent="0.25">
      <c r="A105">
        <v>1104</v>
      </c>
      <c r="B105" t="s">
        <v>11</v>
      </c>
      <c r="C105">
        <v>1</v>
      </c>
      <c r="D105" t="s">
        <v>30</v>
      </c>
      <c r="E105" t="s">
        <v>17</v>
      </c>
      <c r="F105">
        <v>1</v>
      </c>
      <c r="G105">
        <v>0</v>
      </c>
      <c r="H105">
        <v>0</v>
      </c>
      <c r="I105">
        <v>2</v>
      </c>
      <c r="J105">
        <v>3</v>
      </c>
      <c r="K105">
        <v>78.73</v>
      </c>
      <c r="L105" t="str">
        <f t="shared" si="1"/>
        <v>Cancelled</v>
      </c>
    </row>
    <row r="106" spans="1:12" x14ac:dyDescent="0.25">
      <c r="A106">
        <v>1105</v>
      </c>
      <c r="B106" t="s">
        <v>11</v>
      </c>
      <c r="C106">
        <v>1</v>
      </c>
      <c r="D106" t="s">
        <v>19</v>
      </c>
      <c r="E106" t="s">
        <v>15</v>
      </c>
      <c r="F106">
        <v>2</v>
      </c>
      <c r="G106">
        <v>2</v>
      </c>
      <c r="H106">
        <v>0</v>
      </c>
      <c r="I106">
        <v>3</v>
      </c>
      <c r="J106">
        <v>4</v>
      </c>
      <c r="K106">
        <v>200.93</v>
      </c>
      <c r="L106" t="str">
        <f t="shared" si="1"/>
        <v>Cancelled</v>
      </c>
    </row>
    <row r="107" spans="1:12" hidden="1" x14ac:dyDescent="0.25">
      <c r="A107">
        <v>1106</v>
      </c>
      <c r="B107" t="s">
        <v>23</v>
      </c>
      <c r="C107">
        <v>0</v>
      </c>
      <c r="D107" t="s">
        <v>14</v>
      </c>
      <c r="E107" t="s">
        <v>17</v>
      </c>
      <c r="F107">
        <v>3</v>
      </c>
      <c r="G107">
        <v>1</v>
      </c>
      <c r="H107">
        <v>0</v>
      </c>
      <c r="I107">
        <v>1</v>
      </c>
      <c r="J107">
        <v>2</v>
      </c>
      <c r="K107">
        <v>162.69999999999999</v>
      </c>
      <c r="L107" t="str">
        <f t="shared" si="1"/>
        <v>Not cancelled</v>
      </c>
    </row>
    <row r="108" spans="1:12" hidden="1" x14ac:dyDescent="0.25">
      <c r="A108">
        <v>1107</v>
      </c>
      <c r="B108" t="s">
        <v>11</v>
      </c>
      <c r="C108">
        <v>0</v>
      </c>
      <c r="D108" t="s">
        <v>26</v>
      </c>
      <c r="E108" t="s">
        <v>13</v>
      </c>
      <c r="F108">
        <v>1</v>
      </c>
      <c r="G108">
        <v>1</v>
      </c>
      <c r="H108">
        <v>0</v>
      </c>
      <c r="I108">
        <v>0</v>
      </c>
      <c r="J108">
        <v>2</v>
      </c>
      <c r="K108">
        <v>214.57</v>
      </c>
      <c r="L108" t="str">
        <f t="shared" si="1"/>
        <v>Not cancelled</v>
      </c>
    </row>
    <row r="109" spans="1:12" hidden="1" x14ac:dyDescent="0.25">
      <c r="A109">
        <v>1108</v>
      </c>
      <c r="B109" t="s">
        <v>23</v>
      </c>
      <c r="C109">
        <v>0</v>
      </c>
      <c r="D109" t="s">
        <v>19</v>
      </c>
      <c r="E109" t="s">
        <v>15</v>
      </c>
      <c r="F109">
        <v>3</v>
      </c>
      <c r="G109">
        <v>0</v>
      </c>
      <c r="H109">
        <v>0</v>
      </c>
      <c r="I109">
        <v>1</v>
      </c>
      <c r="J109">
        <v>1</v>
      </c>
      <c r="K109">
        <v>291.58999999999997</v>
      </c>
      <c r="L109" t="str">
        <f t="shared" si="1"/>
        <v>Not cancelled</v>
      </c>
    </row>
    <row r="110" spans="1:12" x14ac:dyDescent="0.25">
      <c r="A110">
        <v>1109</v>
      </c>
      <c r="B110" t="s">
        <v>11</v>
      </c>
      <c r="C110">
        <v>1</v>
      </c>
      <c r="D110" t="s">
        <v>28</v>
      </c>
      <c r="E110" t="s">
        <v>17</v>
      </c>
      <c r="F110">
        <v>2</v>
      </c>
      <c r="G110">
        <v>1</v>
      </c>
      <c r="H110">
        <v>0</v>
      </c>
      <c r="I110">
        <v>1</v>
      </c>
      <c r="J110">
        <v>6</v>
      </c>
      <c r="K110">
        <v>167.3</v>
      </c>
      <c r="L110" t="str">
        <f t="shared" si="1"/>
        <v>Cancelled</v>
      </c>
    </row>
    <row r="111" spans="1:12" hidden="1" x14ac:dyDescent="0.25">
      <c r="A111">
        <v>1110</v>
      </c>
      <c r="B111" t="s">
        <v>11</v>
      </c>
      <c r="C111">
        <v>0</v>
      </c>
      <c r="D111" t="s">
        <v>19</v>
      </c>
      <c r="E111" t="s">
        <v>13</v>
      </c>
      <c r="F111">
        <v>1</v>
      </c>
      <c r="G111">
        <v>0</v>
      </c>
      <c r="H111">
        <v>0</v>
      </c>
      <c r="I111">
        <v>1</v>
      </c>
      <c r="J111">
        <v>7</v>
      </c>
      <c r="K111">
        <v>116.21</v>
      </c>
      <c r="L111" t="str">
        <f t="shared" si="1"/>
        <v>Not cancelled</v>
      </c>
    </row>
    <row r="112" spans="1:12" hidden="1" x14ac:dyDescent="0.25">
      <c r="A112">
        <v>1111</v>
      </c>
      <c r="B112" t="s">
        <v>23</v>
      </c>
      <c r="C112">
        <v>0</v>
      </c>
      <c r="D112" t="s">
        <v>14</v>
      </c>
      <c r="E112" t="s">
        <v>13</v>
      </c>
      <c r="F112">
        <v>2</v>
      </c>
      <c r="G112">
        <v>0</v>
      </c>
      <c r="H112">
        <v>0</v>
      </c>
      <c r="I112">
        <v>2</v>
      </c>
      <c r="J112">
        <v>3</v>
      </c>
      <c r="K112">
        <v>142.1</v>
      </c>
      <c r="L112" t="str">
        <f t="shared" si="1"/>
        <v>Not cancelled</v>
      </c>
    </row>
    <row r="113" spans="1:12" hidden="1" x14ac:dyDescent="0.25">
      <c r="A113">
        <v>1112</v>
      </c>
      <c r="B113" t="s">
        <v>11</v>
      </c>
      <c r="C113">
        <v>0</v>
      </c>
      <c r="D113" t="s">
        <v>12</v>
      </c>
      <c r="E113" t="s">
        <v>24</v>
      </c>
      <c r="F113">
        <v>1</v>
      </c>
      <c r="G113">
        <v>0</v>
      </c>
      <c r="H113">
        <v>0</v>
      </c>
      <c r="I113">
        <v>0</v>
      </c>
      <c r="J113">
        <v>1</v>
      </c>
      <c r="K113">
        <v>139.85</v>
      </c>
      <c r="L113" t="str">
        <f t="shared" si="1"/>
        <v>Not cancelled</v>
      </c>
    </row>
    <row r="114" spans="1:12" hidden="1" x14ac:dyDescent="0.25">
      <c r="A114">
        <v>1113</v>
      </c>
      <c r="B114" t="s">
        <v>11</v>
      </c>
      <c r="C114">
        <v>0</v>
      </c>
      <c r="D114" t="s">
        <v>16</v>
      </c>
      <c r="E114" t="s">
        <v>21</v>
      </c>
      <c r="F114">
        <v>1</v>
      </c>
      <c r="G114">
        <v>1</v>
      </c>
      <c r="H114">
        <v>0</v>
      </c>
      <c r="I114">
        <v>3</v>
      </c>
      <c r="J114">
        <v>5</v>
      </c>
      <c r="K114">
        <v>98.33</v>
      </c>
      <c r="L114" t="str">
        <f t="shared" si="1"/>
        <v>Not cancelled</v>
      </c>
    </row>
    <row r="115" spans="1:12" x14ac:dyDescent="0.25">
      <c r="A115">
        <v>1114</v>
      </c>
      <c r="B115" t="s">
        <v>11</v>
      </c>
      <c r="C115">
        <v>1</v>
      </c>
      <c r="D115" t="s">
        <v>28</v>
      </c>
      <c r="E115" t="s">
        <v>25</v>
      </c>
      <c r="F115">
        <v>1</v>
      </c>
      <c r="G115">
        <v>1</v>
      </c>
      <c r="H115">
        <v>0</v>
      </c>
      <c r="I115">
        <v>0</v>
      </c>
      <c r="J115">
        <v>4</v>
      </c>
      <c r="K115">
        <v>65.62</v>
      </c>
      <c r="L115" t="str">
        <f t="shared" si="1"/>
        <v>Cancelled</v>
      </c>
    </row>
    <row r="116" spans="1:12" hidden="1" x14ac:dyDescent="0.25">
      <c r="A116">
        <v>1115</v>
      </c>
      <c r="B116" t="s">
        <v>11</v>
      </c>
      <c r="C116">
        <v>0</v>
      </c>
      <c r="D116" t="s">
        <v>19</v>
      </c>
      <c r="E116" t="s">
        <v>17</v>
      </c>
      <c r="F116">
        <v>2</v>
      </c>
      <c r="G116">
        <v>0</v>
      </c>
      <c r="H116">
        <v>1</v>
      </c>
      <c r="I116">
        <v>1</v>
      </c>
      <c r="J116">
        <v>3</v>
      </c>
      <c r="K116">
        <v>137.97</v>
      </c>
      <c r="L116" t="str">
        <f t="shared" si="1"/>
        <v>Not cancelled</v>
      </c>
    </row>
    <row r="117" spans="1:12" hidden="1" x14ac:dyDescent="0.25">
      <c r="A117">
        <v>1116</v>
      </c>
      <c r="B117" t="s">
        <v>23</v>
      </c>
      <c r="C117">
        <v>0</v>
      </c>
      <c r="D117" t="s">
        <v>26</v>
      </c>
      <c r="E117" t="s">
        <v>17</v>
      </c>
      <c r="F117">
        <v>2</v>
      </c>
      <c r="G117">
        <v>0</v>
      </c>
      <c r="H117">
        <v>0</v>
      </c>
      <c r="I117">
        <v>0</v>
      </c>
      <c r="J117">
        <v>7</v>
      </c>
      <c r="K117">
        <v>314.85000000000002</v>
      </c>
      <c r="L117" t="str">
        <f t="shared" si="1"/>
        <v>Not cancelled</v>
      </c>
    </row>
    <row r="118" spans="1:12" hidden="1" x14ac:dyDescent="0.25">
      <c r="A118">
        <v>1117</v>
      </c>
      <c r="B118" t="s">
        <v>23</v>
      </c>
      <c r="C118">
        <v>0</v>
      </c>
      <c r="D118" t="s">
        <v>28</v>
      </c>
      <c r="E118" t="s">
        <v>17</v>
      </c>
      <c r="F118">
        <v>1</v>
      </c>
      <c r="G118">
        <v>0</v>
      </c>
      <c r="H118">
        <v>0</v>
      </c>
      <c r="I118">
        <v>0</v>
      </c>
      <c r="J118">
        <v>4</v>
      </c>
      <c r="K118">
        <v>292.18</v>
      </c>
      <c r="L118" t="str">
        <f t="shared" si="1"/>
        <v>Not cancelled</v>
      </c>
    </row>
    <row r="119" spans="1:12" hidden="1" x14ac:dyDescent="0.25">
      <c r="A119">
        <v>1118</v>
      </c>
      <c r="B119" t="s">
        <v>11</v>
      </c>
      <c r="C119">
        <v>0</v>
      </c>
      <c r="D119" t="s">
        <v>26</v>
      </c>
      <c r="E119" t="s">
        <v>20</v>
      </c>
      <c r="F119">
        <v>3</v>
      </c>
      <c r="G119">
        <v>1</v>
      </c>
      <c r="H119">
        <v>0</v>
      </c>
      <c r="I119">
        <v>2</v>
      </c>
      <c r="J119">
        <v>5</v>
      </c>
      <c r="K119">
        <v>246.97</v>
      </c>
      <c r="L119" t="str">
        <f t="shared" si="1"/>
        <v>Not cancelled</v>
      </c>
    </row>
    <row r="120" spans="1:12" hidden="1" x14ac:dyDescent="0.25">
      <c r="A120">
        <v>1119</v>
      </c>
      <c r="B120" t="s">
        <v>11</v>
      </c>
      <c r="C120">
        <v>0</v>
      </c>
      <c r="D120" t="s">
        <v>16</v>
      </c>
      <c r="E120" t="s">
        <v>29</v>
      </c>
      <c r="F120">
        <v>1</v>
      </c>
      <c r="G120">
        <v>0</v>
      </c>
      <c r="H120">
        <v>0</v>
      </c>
      <c r="I120">
        <v>0</v>
      </c>
      <c r="J120">
        <v>6</v>
      </c>
      <c r="K120">
        <v>180.98</v>
      </c>
      <c r="L120" t="str">
        <f t="shared" si="1"/>
        <v>Not cancelled</v>
      </c>
    </row>
    <row r="121" spans="1:12" x14ac:dyDescent="0.25">
      <c r="A121">
        <v>1120</v>
      </c>
      <c r="B121" t="s">
        <v>11</v>
      </c>
      <c r="C121">
        <v>1</v>
      </c>
      <c r="D121" t="s">
        <v>27</v>
      </c>
      <c r="E121" t="s">
        <v>15</v>
      </c>
      <c r="F121">
        <v>3</v>
      </c>
      <c r="G121">
        <v>0</v>
      </c>
      <c r="H121">
        <v>0</v>
      </c>
      <c r="I121">
        <v>0</v>
      </c>
      <c r="J121">
        <v>7</v>
      </c>
      <c r="K121">
        <v>105.97</v>
      </c>
      <c r="L121" t="str">
        <f t="shared" si="1"/>
        <v>Cancelled</v>
      </c>
    </row>
    <row r="122" spans="1:12" hidden="1" x14ac:dyDescent="0.25">
      <c r="A122">
        <v>1121</v>
      </c>
      <c r="B122" t="s">
        <v>23</v>
      </c>
      <c r="C122">
        <v>0</v>
      </c>
      <c r="D122" t="s">
        <v>12</v>
      </c>
      <c r="E122" t="s">
        <v>20</v>
      </c>
      <c r="F122">
        <v>2</v>
      </c>
      <c r="G122">
        <v>0</v>
      </c>
      <c r="H122">
        <v>0</v>
      </c>
      <c r="I122">
        <v>1</v>
      </c>
      <c r="J122">
        <v>7</v>
      </c>
      <c r="K122">
        <v>223.66</v>
      </c>
      <c r="L122" t="str">
        <f t="shared" si="1"/>
        <v>Not cancelled</v>
      </c>
    </row>
    <row r="123" spans="1:12" hidden="1" x14ac:dyDescent="0.25">
      <c r="A123">
        <v>1122</v>
      </c>
      <c r="B123" t="s">
        <v>11</v>
      </c>
      <c r="C123">
        <v>0</v>
      </c>
      <c r="D123" t="s">
        <v>26</v>
      </c>
      <c r="E123" t="s">
        <v>31</v>
      </c>
      <c r="F123">
        <v>1</v>
      </c>
      <c r="G123">
        <v>0</v>
      </c>
      <c r="H123">
        <v>0</v>
      </c>
      <c r="I123">
        <v>0</v>
      </c>
      <c r="J123">
        <v>2</v>
      </c>
      <c r="K123">
        <v>91.28</v>
      </c>
      <c r="L123" t="str">
        <f t="shared" si="1"/>
        <v>Not cancelled</v>
      </c>
    </row>
    <row r="124" spans="1:12" hidden="1" x14ac:dyDescent="0.25">
      <c r="A124">
        <v>1123</v>
      </c>
      <c r="B124" t="s">
        <v>11</v>
      </c>
      <c r="C124">
        <v>0</v>
      </c>
      <c r="D124" t="s">
        <v>30</v>
      </c>
      <c r="E124" t="s">
        <v>21</v>
      </c>
      <c r="F124">
        <v>3</v>
      </c>
      <c r="G124">
        <v>2</v>
      </c>
      <c r="H124">
        <v>0</v>
      </c>
      <c r="I124">
        <v>0</v>
      </c>
      <c r="J124">
        <v>5</v>
      </c>
      <c r="K124">
        <v>236.74</v>
      </c>
      <c r="L124" t="str">
        <f t="shared" si="1"/>
        <v>Not cancelled</v>
      </c>
    </row>
    <row r="125" spans="1:12" hidden="1" x14ac:dyDescent="0.25">
      <c r="A125">
        <v>1124</v>
      </c>
      <c r="B125" t="s">
        <v>11</v>
      </c>
      <c r="C125">
        <v>0</v>
      </c>
      <c r="D125" t="s">
        <v>18</v>
      </c>
      <c r="E125" t="s">
        <v>17</v>
      </c>
      <c r="F125">
        <v>3</v>
      </c>
      <c r="G125">
        <v>0</v>
      </c>
      <c r="H125">
        <v>0</v>
      </c>
      <c r="I125">
        <v>2</v>
      </c>
      <c r="J125">
        <v>4</v>
      </c>
      <c r="K125">
        <v>197.48</v>
      </c>
      <c r="L125" t="str">
        <f t="shared" si="1"/>
        <v>Not cancelled</v>
      </c>
    </row>
    <row r="126" spans="1:12" x14ac:dyDescent="0.25">
      <c r="A126">
        <v>1125</v>
      </c>
      <c r="B126" t="s">
        <v>23</v>
      </c>
      <c r="C126">
        <v>1</v>
      </c>
      <c r="D126" t="s">
        <v>12</v>
      </c>
      <c r="E126" t="s">
        <v>17</v>
      </c>
      <c r="F126">
        <v>3</v>
      </c>
      <c r="G126">
        <v>0</v>
      </c>
      <c r="H126">
        <v>0</v>
      </c>
      <c r="I126">
        <v>2</v>
      </c>
      <c r="J126">
        <v>3</v>
      </c>
      <c r="K126">
        <v>143.91</v>
      </c>
      <c r="L126" t="str">
        <f t="shared" si="1"/>
        <v>Cancelled</v>
      </c>
    </row>
    <row r="127" spans="1:12" hidden="1" x14ac:dyDescent="0.25">
      <c r="A127">
        <v>1126</v>
      </c>
      <c r="B127" t="s">
        <v>11</v>
      </c>
      <c r="C127">
        <v>0</v>
      </c>
      <c r="D127" t="s">
        <v>12</v>
      </c>
      <c r="E127" t="s">
        <v>17</v>
      </c>
      <c r="F127">
        <v>1</v>
      </c>
      <c r="G127">
        <v>0</v>
      </c>
      <c r="H127">
        <v>0</v>
      </c>
      <c r="I127">
        <v>2</v>
      </c>
      <c r="J127">
        <v>2</v>
      </c>
      <c r="K127">
        <v>144.41999999999999</v>
      </c>
      <c r="L127" t="str">
        <f t="shared" si="1"/>
        <v>Not cancelled</v>
      </c>
    </row>
    <row r="128" spans="1:12" hidden="1" x14ac:dyDescent="0.25">
      <c r="A128">
        <v>1127</v>
      </c>
      <c r="B128" t="s">
        <v>11</v>
      </c>
      <c r="C128">
        <v>0</v>
      </c>
      <c r="D128" t="s">
        <v>16</v>
      </c>
      <c r="E128" t="s">
        <v>29</v>
      </c>
      <c r="F128">
        <v>3</v>
      </c>
      <c r="G128">
        <v>0</v>
      </c>
      <c r="H128">
        <v>0</v>
      </c>
      <c r="I128">
        <v>0</v>
      </c>
      <c r="J128">
        <v>7</v>
      </c>
      <c r="K128">
        <v>214.4</v>
      </c>
      <c r="L128" t="str">
        <f t="shared" si="1"/>
        <v>Not cancelled</v>
      </c>
    </row>
    <row r="129" spans="1:12" hidden="1" x14ac:dyDescent="0.25">
      <c r="A129">
        <v>1128</v>
      </c>
      <c r="B129" t="s">
        <v>11</v>
      </c>
      <c r="C129">
        <v>0</v>
      </c>
      <c r="D129" t="s">
        <v>28</v>
      </c>
      <c r="E129" t="s">
        <v>17</v>
      </c>
      <c r="F129">
        <v>3</v>
      </c>
      <c r="G129">
        <v>0</v>
      </c>
      <c r="H129">
        <v>0</v>
      </c>
      <c r="I129">
        <v>2</v>
      </c>
      <c r="J129">
        <v>2</v>
      </c>
      <c r="K129">
        <v>237.32</v>
      </c>
      <c r="L129" t="str">
        <f t="shared" si="1"/>
        <v>Not cancelled</v>
      </c>
    </row>
    <row r="130" spans="1:12" hidden="1" x14ac:dyDescent="0.25">
      <c r="A130">
        <v>1129</v>
      </c>
      <c r="B130" t="s">
        <v>23</v>
      </c>
      <c r="C130">
        <v>0</v>
      </c>
      <c r="D130" t="s">
        <v>18</v>
      </c>
      <c r="E130" t="s">
        <v>13</v>
      </c>
      <c r="F130">
        <v>3</v>
      </c>
      <c r="G130">
        <v>0</v>
      </c>
      <c r="H130">
        <v>0</v>
      </c>
      <c r="I130">
        <v>3</v>
      </c>
      <c r="J130">
        <v>1</v>
      </c>
      <c r="K130">
        <v>203.48</v>
      </c>
      <c r="L130" t="str">
        <f t="shared" si="1"/>
        <v>Not cancelled</v>
      </c>
    </row>
    <row r="131" spans="1:12" hidden="1" x14ac:dyDescent="0.25">
      <c r="A131">
        <v>1130</v>
      </c>
      <c r="B131" t="s">
        <v>11</v>
      </c>
      <c r="C131">
        <v>0</v>
      </c>
      <c r="D131" t="s">
        <v>26</v>
      </c>
      <c r="E131" t="s">
        <v>25</v>
      </c>
      <c r="F131">
        <v>3</v>
      </c>
      <c r="G131">
        <v>0</v>
      </c>
      <c r="H131">
        <v>0</v>
      </c>
      <c r="I131">
        <v>1</v>
      </c>
      <c r="J131">
        <v>4</v>
      </c>
      <c r="K131">
        <v>211.25</v>
      </c>
      <c r="L131" t="str">
        <f t="shared" ref="L131:L194" si="2">IF(C131=1,"Cancelled","Not cancelled")</f>
        <v>Not cancelled</v>
      </c>
    </row>
    <row r="132" spans="1:12" hidden="1" x14ac:dyDescent="0.25">
      <c r="A132">
        <v>1131</v>
      </c>
      <c r="B132" t="s">
        <v>11</v>
      </c>
      <c r="C132">
        <v>0</v>
      </c>
      <c r="D132" t="s">
        <v>19</v>
      </c>
      <c r="E132" t="s">
        <v>13</v>
      </c>
      <c r="F132">
        <v>3</v>
      </c>
      <c r="G132">
        <v>2</v>
      </c>
      <c r="H132">
        <v>0</v>
      </c>
      <c r="I132">
        <v>0</v>
      </c>
      <c r="J132">
        <v>3</v>
      </c>
      <c r="K132">
        <v>264.54000000000002</v>
      </c>
      <c r="L132" t="str">
        <f t="shared" si="2"/>
        <v>Not cancelled</v>
      </c>
    </row>
    <row r="133" spans="1:12" x14ac:dyDescent="0.25">
      <c r="A133">
        <v>1132</v>
      </c>
      <c r="B133" t="s">
        <v>11</v>
      </c>
      <c r="C133">
        <v>1</v>
      </c>
      <c r="D133" t="s">
        <v>12</v>
      </c>
      <c r="E133" t="s">
        <v>29</v>
      </c>
      <c r="F133">
        <v>2</v>
      </c>
      <c r="G133">
        <v>2</v>
      </c>
      <c r="H133">
        <v>0</v>
      </c>
      <c r="I133">
        <v>0</v>
      </c>
      <c r="J133">
        <v>4</v>
      </c>
      <c r="K133">
        <v>236.38</v>
      </c>
      <c r="L133" t="str">
        <f t="shared" si="2"/>
        <v>Cancelled</v>
      </c>
    </row>
    <row r="134" spans="1:12" hidden="1" x14ac:dyDescent="0.25">
      <c r="A134">
        <v>1133</v>
      </c>
      <c r="B134" t="s">
        <v>11</v>
      </c>
      <c r="C134">
        <v>0</v>
      </c>
      <c r="D134" t="s">
        <v>28</v>
      </c>
      <c r="E134" t="s">
        <v>34</v>
      </c>
      <c r="F134">
        <v>1</v>
      </c>
      <c r="G134">
        <v>0</v>
      </c>
      <c r="H134">
        <v>0</v>
      </c>
      <c r="I134">
        <v>0</v>
      </c>
      <c r="J134">
        <v>5</v>
      </c>
      <c r="K134">
        <v>106.24</v>
      </c>
      <c r="L134" t="str">
        <f t="shared" si="2"/>
        <v>Not cancelled</v>
      </c>
    </row>
    <row r="135" spans="1:12" hidden="1" x14ac:dyDescent="0.25">
      <c r="A135">
        <v>1134</v>
      </c>
      <c r="B135" t="s">
        <v>11</v>
      </c>
      <c r="C135">
        <v>0</v>
      </c>
      <c r="D135" t="s">
        <v>16</v>
      </c>
      <c r="E135" t="s">
        <v>21</v>
      </c>
      <c r="F135">
        <v>1</v>
      </c>
      <c r="G135">
        <v>0</v>
      </c>
      <c r="H135">
        <v>0</v>
      </c>
      <c r="I135">
        <v>1</v>
      </c>
      <c r="J135">
        <v>7</v>
      </c>
      <c r="K135">
        <v>146.19999999999999</v>
      </c>
      <c r="L135" t="str">
        <f t="shared" si="2"/>
        <v>Not cancelled</v>
      </c>
    </row>
    <row r="136" spans="1:12" hidden="1" x14ac:dyDescent="0.25">
      <c r="A136">
        <v>1135</v>
      </c>
      <c r="B136" t="s">
        <v>11</v>
      </c>
      <c r="C136">
        <v>0</v>
      </c>
      <c r="D136" t="s">
        <v>19</v>
      </c>
      <c r="E136" t="s">
        <v>29</v>
      </c>
      <c r="F136">
        <v>1</v>
      </c>
      <c r="G136">
        <v>0</v>
      </c>
      <c r="H136">
        <v>0</v>
      </c>
      <c r="I136">
        <v>1</v>
      </c>
      <c r="J136">
        <v>6</v>
      </c>
      <c r="K136">
        <v>211.17</v>
      </c>
      <c r="L136" t="str">
        <f t="shared" si="2"/>
        <v>Not cancelled</v>
      </c>
    </row>
    <row r="137" spans="1:12" x14ac:dyDescent="0.25">
      <c r="A137">
        <v>1136</v>
      </c>
      <c r="B137" t="s">
        <v>11</v>
      </c>
      <c r="C137">
        <v>1</v>
      </c>
      <c r="D137" t="s">
        <v>18</v>
      </c>
      <c r="E137" t="s">
        <v>15</v>
      </c>
      <c r="F137">
        <v>3</v>
      </c>
      <c r="G137">
        <v>0</v>
      </c>
      <c r="H137">
        <v>0</v>
      </c>
      <c r="I137">
        <v>3</v>
      </c>
      <c r="J137">
        <v>4</v>
      </c>
      <c r="K137">
        <v>254.15</v>
      </c>
      <c r="L137" t="str">
        <f t="shared" si="2"/>
        <v>Cancelled</v>
      </c>
    </row>
    <row r="138" spans="1:12" x14ac:dyDescent="0.25">
      <c r="A138">
        <v>1137</v>
      </c>
      <c r="B138" t="s">
        <v>11</v>
      </c>
      <c r="C138">
        <v>1</v>
      </c>
      <c r="D138" t="s">
        <v>28</v>
      </c>
      <c r="E138" t="s">
        <v>17</v>
      </c>
      <c r="F138">
        <v>1</v>
      </c>
      <c r="G138">
        <v>0</v>
      </c>
      <c r="H138">
        <v>0</v>
      </c>
      <c r="I138">
        <v>2</v>
      </c>
      <c r="J138">
        <v>5</v>
      </c>
      <c r="K138">
        <v>60.7</v>
      </c>
      <c r="L138" t="str">
        <f t="shared" si="2"/>
        <v>Cancelled</v>
      </c>
    </row>
    <row r="139" spans="1:12" x14ac:dyDescent="0.25">
      <c r="A139">
        <v>1138</v>
      </c>
      <c r="B139" t="s">
        <v>23</v>
      </c>
      <c r="C139">
        <v>1</v>
      </c>
      <c r="D139" t="s">
        <v>16</v>
      </c>
      <c r="E139" t="s">
        <v>13</v>
      </c>
      <c r="F139">
        <v>3</v>
      </c>
      <c r="G139">
        <v>0</v>
      </c>
      <c r="H139">
        <v>0</v>
      </c>
      <c r="I139">
        <v>3</v>
      </c>
      <c r="J139">
        <v>7</v>
      </c>
      <c r="K139">
        <v>246.7</v>
      </c>
      <c r="L139" t="str">
        <f t="shared" si="2"/>
        <v>Cancelled</v>
      </c>
    </row>
    <row r="140" spans="1:12" x14ac:dyDescent="0.25">
      <c r="A140">
        <v>1139</v>
      </c>
      <c r="B140" t="s">
        <v>11</v>
      </c>
      <c r="C140">
        <v>1</v>
      </c>
      <c r="D140" t="s">
        <v>18</v>
      </c>
      <c r="E140" t="s">
        <v>24</v>
      </c>
      <c r="F140">
        <v>1</v>
      </c>
      <c r="G140">
        <v>0</v>
      </c>
      <c r="H140">
        <v>0</v>
      </c>
      <c r="I140">
        <v>2</v>
      </c>
      <c r="J140">
        <v>1</v>
      </c>
      <c r="K140">
        <v>264.66000000000003</v>
      </c>
      <c r="L140" t="str">
        <f t="shared" si="2"/>
        <v>Cancelled</v>
      </c>
    </row>
    <row r="141" spans="1:12" hidden="1" x14ac:dyDescent="0.25">
      <c r="A141">
        <v>1140</v>
      </c>
      <c r="B141" t="s">
        <v>23</v>
      </c>
      <c r="C141">
        <v>0</v>
      </c>
      <c r="D141" t="s">
        <v>19</v>
      </c>
      <c r="E141" t="s">
        <v>17</v>
      </c>
      <c r="F141">
        <v>2</v>
      </c>
      <c r="G141">
        <v>2</v>
      </c>
      <c r="H141">
        <v>0</v>
      </c>
      <c r="I141">
        <v>3</v>
      </c>
      <c r="J141">
        <v>3</v>
      </c>
      <c r="K141">
        <v>214.58</v>
      </c>
      <c r="L141" t="str">
        <f t="shared" si="2"/>
        <v>Not cancelled</v>
      </c>
    </row>
    <row r="142" spans="1:12" x14ac:dyDescent="0.25">
      <c r="A142">
        <v>1141</v>
      </c>
      <c r="B142" t="s">
        <v>11</v>
      </c>
      <c r="C142">
        <v>1</v>
      </c>
      <c r="D142" t="s">
        <v>19</v>
      </c>
      <c r="E142" t="s">
        <v>13</v>
      </c>
      <c r="F142">
        <v>3</v>
      </c>
      <c r="G142">
        <v>1</v>
      </c>
      <c r="H142">
        <v>0</v>
      </c>
      <c r="I142">
        <v>2</v>
      </c>
      <c r="J142">
        <v>6</v>
      </c>
      <c r="K142">
        <v>239.25</v>
      </c>
      <c r="L142" t="str">
        <f t="shared" si="2"/>
        <v>Cancelled</v>
      </c>
    </row>
    <row r="143" spans="1:12" hidden="1" x14ac:dyDescent="0.25">
      <c r="A143">
        <v>1142</v>
      </c>
      <c r="B143" t="s">
        <v>11</v>
      </c>
      <c r="C143">
        <v>0</v>
      </c>
      <c r="D143" t="s">
        <v>12</v>
      </c>
      <c r="E143" t="s">
        <v>17</v>
      </c>
      <c r="F143">
        <v>1</v>
      </c>
      <c r="G143">
        <v>0</v>
      </c>
      <c r="H143">
        <v>0</v>
      </c>
      <c r="I143">
        <v>0</v>
      </c>
      <c r="J143">
        <v>1</v>
      </c>
      <c r="K143">
        <v>216.85</v>
      </c>
      <c r="L143" t="str">
        <f t="shared" si="2"/>
        <v>Not cancelled</v>
      </c>
    </row>
    <row r="144" spans="1:12" hidden="1" x14ac:dyDescent="0.25">
      <c r="A144">
        <v>1143</v>
      </c>
      <c r="B144" t="s">
        <v>23</v>
      </c>
      <c r="C144">
        <v>0</v>
      </c>
      <c r="D144" t="s">
        <v>28</v>
      </c>
      <c r="E144" t="s">
        <v>17</v>
      </c>
      <c r="F144">
        <v>1</v>
      </c>
      <c r="G144">
        <v>0</v>
      </c>
      <c r="H144">
        <v>0</v>
      </c>
      <c r="I144">
        <v>2</v>
      </c>
      <c r="J144">
        <v>7</v>
      </c>
      <c r="K144">
        <v>211.94</v>
      </c>
      <c r="L144" t="str">
        <f t="shared" si="2"/>
        <v>Not cancelled</v>
      </c>
    </row>
    <row r="145" spans="1:12" hidden="1" x14ac:dyDescent="0.25">
      <c r="A145">
        <v>1144</v>
      </c>
      <c r="B145" t="s">
        <v>11</v>
      </c>
      <c r="C145">
        <v>0</v>
      </c>
      <c r="D145" t="s">
        <v>12</v>
      </c>
      <c r="E145" t="s">
        <v>29</v>
      </c>
      <c r="F145">
        <v>2</v>
      </c>
      <c r="G145">
        <v>0</v>
      </c>
      <c r="H145">
        <v>0</v>
      </c>
      <c r="I145">
        <v>0</v>
      </c>
      <c r="J145">
        <v>3</v>
      </c>
      <c r="K145">
        <v>180.95</v>
      </c>
      <c r="L145" t="str">
        <f t="shared" si="2"/>
        <v>Not cancelled</v>
      </c>
    </row>
    <row r="146" spans="1:12" x14ac:dyDescent="0.25">
      <c r="A146">
        <v>1145</v>
      </c>
      <c r="B146" t="s">
        <v>11</v>
      </c>
      <c r="C146">
        <v>1</v>
      </c>
      <c r="D146" t="s">
        <v>12</v>
      </c>
      <c r="E146" t="s">
        <v>34</v>
      </c>
      <c r="F146">
        <v>1</v>
      </c>
      <c r="G146">
        <v>2</v>
      </c>
      <c r="H146">
        <v>0</v>
      </c>
      <c r="I146">
        <v>1</v>
      </c>
      <c r="J146">
        <v>2</v>
      </c>
      <c r="K146">
        <v>246.82</v>
      </c>
      <c r="L146" t="str">
        <f t="shared" si="2"/>
        <v>Cancelled</v>
      </c>
    </row>
    <row r="147" spans="1:12" x14ac:dyDescent="0.25">
      <c r="A147">
        <v>1146</v>
      </c>
      <c r="B147" t="s">
        <v>23</v>
      </c>
      <c r="C147">
        <v>1</v>
      </c>
      <c r="D147" t="s">
        <v>19</v>
      </c>
      <c r="E147" t="s">
        <v>17</v>
      </c>
      <c r="F147">
        <v>3</v>
      </c>
      <c r="G147">
        <v>2</v>
      </c>
      <c r="H147">
        <v>0</v>
      </c>
      <c r="I147">
        <v>2</v>
      </c>
      <c r="J147">
        <v>4</v>
      </c>
      <c r="K147">
        <v>130.55000000000001</v>
      </c>
      <c r="L147" t="str">
        <f t="shared" si="2"/>
        <v>Cancelled</v>
      </c>
    </row>
    <row r="148" spans="1:12" hidden="1" x14ac:dyDescent="0.25">
      <c r="A148">
        <v>1147</v>
      </c>
      <c r="B148" t="s">
        <v>11</v>
      </c>
      <c r="C148">
        <v>0</v>
      </c>
      <c r="D148" t="s">
        <v>19</v>
      </c>
      <c r="E148" t="s">
        <v>29</v>
      </c>
      <c r="F148">
        <v>2</v>
      </c>
      <c r="G148">
        <v>0</v>
      </c>
      <c r="H148">
        <v>0</v>
      </c>
      <c r="I148">
        <v>2</v>
      </c>
      <c r="J148">
        <v>3</v>
      </c>
      <c r="K148">
        <v>234.54</v>
      </c>
      <c r="L148" t="str">
        <f t="shared" si="2"/>
        <v>Not cancelled</v>
      </c>
    </row>
    <row r="149" spans="1:12" hidden="1" x14ac:dyDescent="0.25">
      <c r="A149">
        <v>1148</v>
      </c>
      <c r="B149" t="s">
        <v>23</v>
      </c>
      <c r="C149">
        <v>0</v>
      </c>
      <c r="D149" t="s">
        <v>27</v>
      </c>
      <c r="E149" t="s">
        <v>29</v>
      </c>
      <c r="F149">
        <v>2</v>
      </c>
      <c r="G149">
        <v>0</v>
      </c>
      <c r="H149">
        <v>0</v>
      </c>
      <c r="I149">
        <v>2</v>
      </c>
      <c r="J149">
        <v>2</v>
      </c>
      <c r="K149">
        <v>114.01</v>
      </c>
      <c r="L149" t="str">
        <f t="shared" si="2"/>
        <v>Not cancelled</v>
      </c>
    </row>
    <row r="150" spans="1:12" hidden="1" x14ac:dyDescent="0.25">
      <c r="A150">
        <v>1149</v>
      </c>
      <c r="B150" t="s">
        <v>11</v>
      </c>
      <c r="C150">
        <v>0</v>
      </c>
      <c r="D150" t="s">
        <v>28</v>
      </c>
      <c r="E150" t="s">
        <v>15</v>
      </c>
      <c r="F150">
        <v>2</v>
      </c>
      <c r="G150">
        <v>0</v>
      </c>
      <c r="H150">
        <v>0</v>
      </c>
      <c r="I150">
        <v>2</v>
      </c>
      <c r="J150">
        <v>6</v>
      </c>
      <c r="K150">
        <v>286</v>
      </c>
      <c r="L150" t="str">
        <f t="shared" si="2"/>
        <v>Not cancelled</v>
      </c>
    </row>
    <row r="151" spans="1:12" hidden="1" x14ac:dyDescent="0.25">
      <c r="A151">
        <v>1150</v>
      </c>
      <c r="B151" t="s">
        <v>11</v>
      </c>
      <c r="C151">
        <v>0</v>
      </c>
      <c r="D151" t="s">
        <v>26</v>
      </c>
      <c r="E151" t="s">
        <v>21</v>
      </c>
      <c r="F151">
        <v>3</v>
      </c>
      <c r="G151">
        <v>0</v>
      </c>
      <c r="H151">
        <v>0</v>
      </c>
      <c r="I151">
        <v>0</v>
      </c>
      <c r="J151">
        <v>5</v>
      </c>
      <c r="K151">
        <v>79</v>
      </c>
      <c r="L151" t="str">
        <f t="shared" si="2"/>
        <v>Not cancelled</v>
      </c>
    </row>
    <row r="152" spans="1:12" hidden="1" x14ac:dyDescent="0.25">
      <c r="A152">
        <v>1151</v>
      </c>
      <c r="B152" t="s">
        <v>11</v>
      </c>
      <c r="C152">
        <v>0</v>
      </c>
      <c r="D152" t="s">
        <v>18</v>
      </c>
      <c r="E152" t="s">
        <v>29</v>
      </c>
      <c r="F152">
        <v>1</v>
      </c>
      <c r="G152">
        <v>0</v>
      </c>
      <c r="H152">
        <v>0</v>
      </c>
      <c r="I152">
        <v>0</v>
      </c>
      <c r="J152">
        <v>7</v>
      </c>
      <c r="K152">
        <v>293.24</v>
      </c>
      <c r="L152" t="str">
        <f t="shared" si="2"/>
        <v>Not cancelled</v>
      </c>
    </row>
    <row r="153" spans="1:12" hidden="1" x14ac:dyDescent="0.25">
      <c r="A153">
        <v>1152</v>
      </c>
      <c r="B153" t="s">
        <v>11</v>
      </c>
      <c r="C153">
        <v>0</v>
      </c>
      <c r="D153" t="s">
        <v>32</v>
      </c>
      <c r="E153" t="s">
        <v>25</v>
      </c>
      <c r="F153">
        <v>2</v>
      </c>
      <c r="G153">
        <v>1</v>
      </c>
      <c r="H153">
        <v>0</v>
      </c>
      <c r="I153">
        <v>0</v>
      </c>
      <c r="J153">
        <v>4</v>
      </c>
      <c r="K153">
        <v>217.29</v>
      </c>
      <c r="L153" t="str">
        <f t="shared" si="2"/>
        <v>Not cancelled</v>
      </c>
    </row>
    <row r="154" spans="1:12" hidden="1" x14ac:dyDescent="0.25">
      <c r="A154">
        <v>1153</v>
      </c>
      <c r="B154" t="s">
        <v>11</v>
      </c>
      <c r="C154">
        <v>0</v>
      </c>
      <c r="D154" t="s">
        <v>12</v>
      </c>
      <c r="E154" t="s">
        <v>17</v>
      </c>
      <c r="F154">
        <v>2</v>
      </c>
      <c r="G154">
        <v>0</v>
      </c>
      <c r="H154">
        <v>0</v>
      </c>
      <c r="I154">
        <v>2</v>
      </c>
      <c r="J154">
        <v>1</v>
      </c>
      <c r="K154">
        <v>56.06</v>
      </c>
      <c r="L154" t="str">
        <f t="shared" si="2"/>
        <v>Not cancelled</v>
      </c>
    </row>
    <row r="155" spans="1:12" hidden="1" x14ac:dyDescent="0.25">
      <c r="A155">
        <v>1154</v>
      </c>
      <c r="B155" t="s">
        <v>11</v>
      </c>
      <c r="C155">
        <v>0</v>
      </c>
      <c r="D155" t="s">
        <v>30</v>
      </c>
      <c r="E155" t="s">
        <v>25</v>
      </c>
      <c r="F155">
        <v>2</v>
      </c>
      <c r="G155">
        <v>2</v>
      </c>
      <c r="H155">
        <v>0</v>
      </c>
      <c r="I155">
        <v>1</v>
      </c>
      <c r="J155">
        <v>6</v>
      </c>
      <c r="K155">
        <v>151.83000000000001</v>
      </c>
      <c r="L155" t="str">
        <f t="shared" si="2"/>
        <v>Not cancelled</v>
      </c>
    </row>
    <row r="156" spans="1:12" hidden="1" x14ac:dyDescent="0.25">
      <c r="A156">
        <v>1155</v>
      </c>
      <c r="B156" t="s">
        <v>23</v>
      </c>
      <c r="C156">
        <v>0</v>
      </c>
      <c r="D156" t="s">
        <v>19</v>
      </c>
      <c r="E156" t="s">
        <v>17</v>
      </c>
      <c r="F156">
        <v>3</v>
      </c>
      <c r="G156">
        <v>2</v>
      </c>
      <c r="H156">
        <v>0</v>
      </c>
      <c r="I156">
        <v>1</v>
      </c>
      <c r="J156">
        <v>5</v>
      </c>
      <c r="K156">
        <v>209.26</v>
      </c>
      <c r="L156" t="str">
        <f t="shared" si="2"/>
        <v>Not cancelled</v>
      </c>
    </row>
    <row r="157" spans="1:12" hidden="1" x14ac:dyDescent="0.25">
      <c r="A157">
        <v>1156</v>
      </c>
      <c r="B157" t="s">
        <v>23</v>
      </c>
      <c r="C157">
        <v>0</v>
      </c>
      <c r="D157" t="s">
        <v>18</v>
      </c>
      <c r="E157" t="s">
        <v>15</v>
      </c>
      <c r="F157">
        <v>3</v>
      </c>
      <c r="G157">
        <v>1</v>
      </c>
      <c r="H157">
        <v>0</v>
      </c>
      <c r="I157">
        <v>2</v>
      </c>
      <c r="J157">
        <v>4</v>
      </c>
      <c r="K157">
        <v>178.51</v>
      </c>
      <c r="L157" t="str">
        <f t="shared" si="2"/>
        <v>Not cancelled</v>
      </c>
    </row>
    <row r="158" spans="1:12" hidden="1" x14ac:dyDescent="0.25">
      <c r="A158">
        <v>1157</v>
      </c>
      <c r="B158" t="s">
        <v>11</v>
      </c>
      <c r="C158">
        <v>0</v>
      </c>
      <c r="D158" t="s">
        <v>27</v>
      </c>
      <c r="E158" t="s">
        <v>17</v>
      </c>
      <c r="F158">
        <v>2</v>
      </c>
      <c r="G158">
        <v>0</v>
      </c>
      <c r="H158">
        <v>0</v>
      </c>
      <c r="I158">
        <v>1</v>
      </c>
      <c r="J158">
        <v>4</v>
      </c>
      <c r="K158">
        <v>93.52</v>
      </c>
      <c r="L158" t="str">
        <f t="shared" si="2"/>
        <v>Not cancelled</v>
      </c>
    </row>
    <row r="159" spans="1:12" hidden="1" x14ac:dyDescent="0.25">
      <c r="A159">
        <v>1158</v>
      </c>
      <c r="B159" t="s">
        <v>11</v>
      </c>
      <c r="C159">
        <v>0</v>
      </c>
      <c r="D159" t="s">
        <v>19</v>
      </c>
      <c r="E159" t="s">
        <v>17</v>
      </c>
      <c r="F159">
        <v>1</v>
      </c>
      <c r="G159">
        <v>2</v>
      </c>
      <c r="H159">
        <v>0</v>
      </c>
      <c r="I159">
        <v>0</v>
      </c>
      <c r="J159">
        <v>5</v>
      </c>
      <c r="K159">
        <v>88.74</v>
      </c>
      <c r="L159" t="str">
        <f t="shared" si="2"/>
        <v>Not cancelled</v>
      </c>
    </row>
    <row r="160" spans="1:12" hidden="1" x14ac:dyDescent="0.25">
      <c r="A160">
        <v>1159</v>
      </c>
      <c r="B160" t="s">
        <v>23</v>
      </c>
      <c r="C160">
        <v>0</v>
      </c>
      <c r="D160" t="s">
        <v>22</v>
      </c>
      <c r="E160" t="s">
        <v>17</v>
      </c>
      <c r="F160">
        <v>1</v>
      </c>
      <c r="G160">
        <v>0</v>
      </c>
      <c r="H160">
        <v>0</v>
      </c>
      <c r="I160">
        <v>3</v>
      </c>
      <c r="J160">
        <v>4</v>
      </c>
      <c r="K160">
        <v>318.42</v>
      </c>
      <c r="L160" t="str">
        <f t="shared" si="2"/>
        <v>Not cancelled</v>
      </c>
    </row>
    <row r="161" spans="1:12" hidden="1" x14ac:dyDescent="0.25">
      <c r="A161">
        <v>1160</v>
      </c>
      <c r="B161" t="s">
        <v>11</v>
      </c>
      <c r="C161">
        <v>0</v>
      </c>
      <c r="D161" t="s">
        <v>33</v>
      </c>
      <c r="E161" t="s">
        <v>21</v>
      </c>
      <c r="F161">
        <v>1</v>
      </c>
      <c r="G161">
        <v>0</v>
      </c>
      <c r="H161">
        <v>0</v>
      </c>
      <c r="I161">
        <v>3</v>
      </c>
      <c r="J161">
        <v>3</v>
      </c>
      <c r="K161">
        <v>268.23</v>
      </c>
      <c r="L161" t="str">
        <f t="shared" si="2"/>
        <v>Not cancelled</v>
      </c>
    </row>
    <row r="162" spans="1:12" hidden="1" x14ac:dyDescent="0.25">
      <c r="A162">
        <v>1161</v>
      </c>
      <c r="B162" t="s">
        <v>11</v>
      </c>
      <c r="C162">
        <v>0</v>
      </c>
      <c r="D162" t="s">
        <v>12</v>
      </c>
      <c r="E162" t="s">
        <v>15</v>
      </c>
      <c r="F162">
        <v>1</v>
      </c>
      <c r="G162">
        <v>0</v>
      </c>
      <c r="H162">
        <v>0</v>
      </c>
      <c r="I162">
        <v>3</v>
      </c>
      <c r="J162">
        <v>6</v>
      </c>
      <c r="K162">
        <v>61.82</v>
      </c>
      <c r="L162" t="str">
        <f t="shared" si="2"/>
        <v>Not cancelled</v>
      </c>
    </row>
    <row r="163" spans="1:12" hidden="1" x14ac:dyDescent="0.25">
      <c r="A163">
        <v>1162</v>
      </c>
      <c r="B163" t="s">
        <v>11</v>
      </c>
      <c r="C163">
        <v>0</v>
      </c>
      <c r="D163" t="s">
        <v>32</v>
      </c>
      <c r="E163" t="s">
        <v>17</v>
      </c>
      <c r="F163">
        <v>3</v>
      </c>
      <c r="G163">
        <v>0</v>
      </c>
      <c r="H163">
        <v>0</v>
      </c>
      <c r="I163">
        <v>2</v>
      </c>
      <c r="J163">
        <v>6</v>
      </c>
      <c r="K163">
        <v>50.57</v>
      </c>
      <c r="L163" t="str">
        <f t="shared" si="2"/>
        <v>Not cancelled</v>
      </c>
    </row>
    <row r="164" spans="1:12" x14ac:dyDescent="0.25">
      <c r="A164">
        <v>1163</v>
      </c>
      <c r="B164" t="s">
        <v>11</v>
      </c>
      <c r="C164">
        <v>1</v>
      </c>
      <c r="D164" t="s">
        <v>19</v>
      </c>
      <c r="E164" t="s">
        <v>17</v>
      </c>
      <c r="F164">
        <v>1</v>
      </c>
      <c r="G164">
        <v>0</v>
      </c>
      <c r="H164">
        <v>0</v>
      </c>
      <c r="I164">
        <v>2</v>
      </c>
      <c r="J164">
        <v>4</v>
      </c>
      <c r="K164">
        <v>186.8</v>
      </c>
      <c r="L164" t="str">
        <f t="shared" si="2"/>
        <v>Cancelled</v>
      </c>
    </row>
    <row r="165" spans="1:12" hidden="1" x14ac:dyDescent="0.25">
      <c r="A165">
        <v>1164</v>
      </c>
      <c r="B165" t="s">
        <v>23</v>
      </c>
      <c r="C165">
        <v>0</v>
      </c>
      <c r="D165" t="s">
        <v>12</v>
      </c>
      <c r="E165" t="s">
        <v>15</v>
      </c>
      <c r="F165">
        <v>1</v>
      </c>
      <c r="G165">
        <v>0</v>
      </c>
      <c r="H165">
        <v>0</v>
      </c>
      <c r="I165">
        <v>1</v>
      </c>
      <c r="J165">
        <v>1</v>
      </c>
      <c r="K165">
        <v>290.81</v>
      </c>
      <c r="L165" t="str">
        <f t="shared" si="2"/>
        <v>Not cancelled</v>
      </c>
    </row>
    <row r="166" spans="1:12" hidden="1" x14ac:dyDescent="0.25">
      <c r="A166">
        <v>1165</v>
      </c>
      <c r="B166" t="s">
        <v>11</v>
      </c>
      <c r="C166">
        <v>0</v>
      </c>
      <c r="D166" t="s">
        <v>16</v>
      </c>
      <c r="E166" t="s">
        <v>17</v>
      </c>
      <c r="F166">
        <v>2</v>
      </c>
      <c r="G166">
        <v>0</v>
      </c>
      <c r="H166">
        <v>0</v>
      </c>
      <c r="I166">
        <v>2</v>
      </c>
      <c r="J166">
        <v>7</v>
      </c>
      <c r="K166">
        <v>163.25</v>
      </c>
      <c r="L166" t="str">
        <f t="shared" si="2"/>
        <v>Not cancelled</v>
      </c>
    </row>
    <row r="167" spans="1:12" hidden="1" x14ac:dyDescent="0.25">
      <c r="A167">
        <v>1166</v>
      </c>
      <c r="B167" t="s">
        <v>11</v>
      </c>
      <c r="C167">
        <v>0</v>
      </c>
      <c r="D167" t="s">
        <v>12</v>
      </c>
      <c r="E167" t="s">
        <v>31</v>
      </c>
      <c r="F167">
        <v>1</v>
      </c>
      <c r="G167">
        <v>0</v>
      </c>
      <c r="H167">
        <v>0</v>
      </c>
      <c r="I167">
        <v>0</v>
      </c>
      <c r="J167">
        <v>7</v>
      </c>
      <c r="K167">
        <v>245.15</v>
      </c>
      <c r="L167" t="str">
        <f t="shared" si="2"/>
        <v>Not cancelled</v>
      </c>
    </row>
    <row r="168" spans="1:12" hidden="1" x14ac:dyDescent="0.25">
      <c r="A168">
        <v>1167</v>
      </c>
      <c r="B168" t="s">
        <v>11</v>
      </c>
      <c r="C168">
        <v>0</v>
      </c>
      <c r="D168" t="s">
        <v>19</v>
      </c>
      <c r="E168" t="s">
        <v>13</v>
      </c>
      <c r="F168">
        <v>1</v>
      </c>
      <c r="G168">
        <v>0</v>
      </c>
      <c r="H168">
        <v>0</v>
      </c>
      <c r="I168">
        <v>3</v>
      </c>
      <c r="J168">
        <v>6</v>
      </c>
      <c r="K168">
        <v>128.57</v>
      </c>
      <c r="L168" t="str">
        <f t="shared" si="2"/>
        <v>Not cancelled</v>
      </c>
    </row>
    <row r="169" spans="1:12" hidden="1" x14ac:dyDescent="0.25">
      <c r="A169">
        <v>1168</v>
      </c>
      <c r="B169" t="s">
        <v>23</v>
      </c>
      <c r="C169">
        <v>0</v>
      </c>
      <c r="D169" t="s">
        <v>32</v>
      </c>
      <c r="E169" t="s">
        <v>21</v>
      </c>
      <c r="F169">
        <v>2</v>
      </c>
      <c r="G169">
        <v>0</v>
      </c>
      <c r="H169">
        <v>0</v>
      </c>
      <c r="I169">
        <v>0</v>
      </c>
      <c r="J169">
        <v>3</v>
      </c>
      <c r="K169">
        <v>273.07</v>
      </c>
      <c r="L169" t="str">
        <f t="shared" si="2"/>
        <v>Not cancelled</v>
      </c>
    </row>
    <row r="170" spans="1:12" hidden="1" x14ac:dyDescent="0.25">
      <c r="A170">
        <v>1169</v>
      </c>
      <c r="B170" t="s">
        <v>11</v>
      </c>
      <c r="C170">
        <v>0</v>
      </c>
      <c r="D170" t="s">
        <v>26</v>
      </c>
      <c r="E170" t="s">
        <v>13</v>
      </c>
      <c r="F170">
        <v>3</v>
      </c>
      <c r="G170">
        <v>1</v>
      </c>
      <c r="H170">
        <v>0</v>
      </c>
      <c r="I170">
        <v>2</v>
      </c>
      <c r="J170">
        <v>6</v>
      </c>
      <c r="K170">
        <v>248.22</v>
      </c>
      <c r="L170" t="str">
        <f t="shared" si="2"/>
        <v>Not cancelled</v>
      </c>
    </row>
    <row r="171" spans="1:12" x14ac:dyDescent="0.25">
      <c r="A171">
        <v>1170</v>
      </c>
      <c r="B171" t="s">
        <v>11</v>
      </c>
      <c r="C171">
        <v>1</v>
      </c>
      <c r="D171" t="s">
        <v>22</v>
      </c>
      <c r="E171" t="s">
        <v>17</v>
      </c>
      <c r="F171">
        <v>3</v>
      </c>
      <c r="G171">
        <v>0</v>
      </c>
      <c r="H171">
        <v>0</v>
      </c>
      <c r="I171">
        <v>0</v>
      </c>
      <c r="J171">
        <v>7</v>
      </c>
      <c r="K171">
        <v>230.36</v>
      </c>
      <c r="L171" t="str">
        <f t="shared" si="2"/>
        <v>Cancelled</v>
      </c>
    </row>
    <row r="172" spans="1:12" hidden="1" x14ac:dyDescent="0.25">
      <c r="A172">
        <v>1171</v>
      </c>
      <c r="B172" t="s">
        <v>23</v>
      </c>
      <c r="C172">
        <v>0</v>
      </c>
      <c r="D172" t="s">
        <v>22</v>
      </c>
      <c r="E172" t="s">
        <v>17</v>
      </c>
      <c r="F172">
        <v>1</v>
      </c>
      <c r="G172">
        <v>1</v>
      </c>
      <c r="H172">
        <v>0</v>
      </c>
      <c r="I172">
        <v>1</v>
      </c>
      <c r="J172">
        <v>2</v>
      </c>
      <c r="K172">
        <v>219.09</v>
      </c>
      <c r="L172" t="str">
        <f t="shared" si="2"/>
        <v>Not cancelled</v>
      </c>
    </row>
    <row r="173" spans="1:12" x14ac:dyDescent="0.25">
      <c r="A173">
        <v>1172</v>
      </c>
      <c r="B173" t="s">
        <v>11</v>
      </c>
      <c r="C173">
        <v>1</v>
      </c>
      <c r="D173" t="s">
        <v>16</v>
      </c>
      <c r="E173" t="s">
        <v>13</v>
      </c>
      <c r="F173">
        <v>1</v>
      </c>
      <c r="G173">
        <v>0</v>
      </c>
      <c r="H173">
        <v>0</v>
      </c>
      <c r="I173">
        <v>3</v>
      </c>
      <c r="J173">
        <v>1</v>
      </c>
      <c r="K173">
        <v>63.95</v>
      </c>
      <c r="L173" t="str">
        <f t="shared" si="2"/>
        <v>Cancelled</v>
      </c>
    </row>
    <row r="174" spans="1:12" x14ac:dyDescent="0.25">
      <c r="A174">
        <v>1173</v>
      </c>
      <c r="B174" t="s">
        <v>23</v>
      </c>
      <c r="C174">
        <v>1</v>
      </c>
      <c r="D174" t="s">
        <v>28</v>
      </c>
      <c r="E174" t="s">
        <v>17</v>
      </c>
      <c r="F174">
        <v>2</v>
      </c>
      <c r="G174">
        <v>2</v>
      </c>
      <c r="H174">
        <v>0</v>
      </c>
      <c r="I174">
        <v>2</v>
      </c>
      <c r="J174">
        <v>6</v>
      </c>
      <c r="K174">
        <v>192.92</v>
      </c>
      <c r="L174" t="str">
        <f t="shared" si="2"/>
        <v>Cancelled</v>
      </c>
    </row>
    <row r="175" spans="1:12" hidden="1" x14ac:dyDescent="0.25">
      <c r="A175">
        <v>1174</v>
      </c>
      <c r="B175" t="s">
        <v>23</v>
      </c>
      <c r="C175">
        <v>0</v>
      </c>
      <c r="D175" t="s">
        <v>27</v>
      </c>
      <c r="E175" t="s">
        <v>17</v>
      </c>
      <c r="F175">
        <v>2</v>
      </c>
      <c r="G175">
        <v>0</v>
      </c>
      <c r="H175">
        <v>1</v>
      </c>
      <c r="I175">
        <v>3</v>
      </c>
      <c r="J175">
        <v>4</v>
      </c>
      <c r="K175">
        <v>151.32</v>
      </c>
      <c r="L175" t="str">
        <f t="shared" si="2"/>
        <v>Not cancelled</v>
      </c>
    </row>
    <row r="176" spans="1:12" hidden="1" x14ac:dyDescent="0.25">
      <c r="A176">
        <v>1175</v>
      </c>
      <c r="B176" t="s">
        <v>11</v>
      </c>
      <c r="C176">
        <v>0</v>
      </c>
      <c r="D176" t="s">
        <v>12</v>
      </c>
      <c r="E176" t="s">
        <v>15</v>
      </c>
      <c r="F176">
        <v>3</v>
      </c>
      <c r="G176">
        <v>0</v>
      </c>
      <c r="H176">
        <v>0</v>
      </c>
      <c r="I176">
        <v>1</v>
      </c>
      <c r="J176">
        <v>3</v>
      </c>
      <c r="K176">
        <v>116.03</v>
      </c>
      <c r="L176" t="str">
        <f t="shared" si="2"/>
        <v>Not cancelled</v>
      </c>
    </row>
    <row r="177" spans="1:12" hidden="1" x14ac:dyDescent="0.25">
      <c r="A177">
        <v>1176</v>
      </c>
      <c r="B177" t="s">
        <v>11</v>
      </c>
      <c r="C177">
        <v>0</v>
      </c>
      <c r="D177" t="s">
        <v>19</v>
      </c>
      <c r="E177" t="s">
        <v>17</v>
      </c>
      <c r="F177">
        <v>2</v>
      </c>
      <c r="G177">
        <v>0</v>
      </c>
      <c r="H177">
        <v>0</v>
      </c>
      <c r="I177">
        <v>2</v>
      </c>
      <c r="J177">
        <v>5</v>
      </c>
      <c r="K177">
        <v>109.7</v>
      </c>
      <c r="L177" t="str">
        <f t="shared" si="2"/>
        <v>Not cancelled</v>
      </c>
    </row>
    <row r="178" spans="1:12" hidden="1" x14ac:dyDescent="0.25">
      <c r="A178">
        <v>1177</v>
      </c>
      <c r="B178" t="s">
        <v>23</v>
      </c>
      <c r="C178">
        <v>0</v>
      </c>
      <c r="D178" t="s">
        <v>28</v>
      </c>
      <c r="E178" t="s">
        <v>13</v>
      </c>
      <c r="F178">
        <v>2</v>
      </c>
      <c r="G178">
        <v>0</v>
      </c>
      <c r="H178">
        <v>0</v>
      </c>
      <c r="I178">
        <v>1</v>
      </c>
      <c r="J178">
        <v>1</v>
      </c>
      <c r="K178">
        <v>122.91</v>
      </c>
      <c r="L178" t="str">
        <f t="shared" si="2"/>
        <v>Not cancelled</v>
      </c>
    </row>
    <row r="179" spans="1:12" hidden="1" x14ac:dyDescent="0.25">
      <c r="A179">
        <v>1178</v>
      </c>
      <c r="B179" t="s">
        <v>11</v>
      </c>
      <c r="C179">
        <v>0</v>
      </c>
      <c r="D179" t="s">
        <v>19</v>
      </c>
      <c r="E179" t="s">
        <v>17</v>
      </c>
      <c r="F179">
        <v>2</v>
      </c>
      <c r="G179">
        <v>0</v>
      </c>
      <c r="H179">
        <v>0</v>
      </c>
      <c r="I179">
        <v>2</v>
      </c>
      <c r="J179">
        <v>7</v>
      </c>
      <c r="K179">
        <v>286.2</v>
      </c>
      <c r="L179" t="str">
        <f t="shared" si="2"/>
        <v>Not cancelled</v>
      </c>
    </row>
    <row r="180" spans="1:12" hidden="1" x14ac:dyDescent="0.25">
      <c r="A180">
        <v>1179</v>
      </c>
      <c r="B180" t="s">
        <v>11</v>
      </c>
      <c r="C180">
        <v>0</v>
      </c>
      <c r="D180" t="s">
        <v>16</v>
      </c>
      <c r="E180" t="s">
        <v>17</v>
      </c>
      <c r="F180">
        <v>1</v>
      </c>
      <c r="G180">
        <v>0</v>
      </c>
      <c r="H180">
        <v>0</v>
      </c>
      <c r="I180">
        <v>2</v>
      </c>
      <c r="J180">
        <v>4</v>
      </c>
      <c r="K180">
        <v>218.34</v>
      </c>
      <c r="L180" t="str">
        <f t="shared" si="2"/>
        <v>Not cancelled</v>
      </c>
    </row>
    <row r="181" spans="1:12" hidden="1" x14ac:dyDescent="0.25">
      <c r="A181">
        <v>1180</v>
      </c>
      <c r="B181" t="s">
        <v>23</v>
      </c>
      <c r="C181">
        <v>0</v>
      </c>
      <c r="D181" t="s">
        <v>16</v>
      </c>
      <c r="E181" t="s">
        <v>34</v>
      </c>
      <c r="F181">
        <v>1</v>
      </c>
      <c r="G181">
        <v>0</v>
      </c>
      <c r="H181">
        <v>0</v>
      </c>
      <c r="I181">
        <v>1</v>
      </c>
      <c r="J181">
        <v>4</v>
      </c>
      <c r="K181">
        <v>313.55</v>
      </c>
      <c r="L181" t="str">
        <f t="shared" si="2"/>
        <v>Not cancelled</v>
      </c>
    </row>
    <row r="182" spans="1:12" x14ac:dyDescent="0.25">
      <c r="A182">
        <v>1181</v>
      </c>
      <c r="B182" t="s">
        <v>11</v>
      </c>
      <c r="C182">
        <v>1</v>
      </c>
      <c r="D182" t="s">
        <v>28</v>
      </c>
      <c r="E182" t="s">
        <v>17</v>
      </c>
      <c r="F182">
        <v>3</v>
      </c>
      <c r="G182">
        <v>0</v>
      </c>
      <c r="H182">
        <v>0</v>
      </c>
      <c r="I182">
        <v>0</v>
      </c>
      <c r="J182">
        <v>2</v>
      </c>
      <c r="K182">
        <v>89.61</v>
      </c>
      <c r="L182" t="str">
        <f t="shared" si="2"/>
        <v>Cancelled</v>
      </c>
    </row>
    <row r="183" spans="1:12" x14ac:dyDescent="0.25">
      <c r="A183">
        <v>1182</v>
      </c>
      <c r="B183" t="s">
        <v>11</v>
      </c>
      <c r="C183">
        <v>1</v>
      </c>
      <c r="D183" t="s">
        <v>12</v>
      </c>
      <c r="E183" t="s">
        <v>17</v>
      </c>
      <c r="F183">
        <v>2</v>
      </c>
      <c r="G183">
        <v>2</v>
      </c>
      <c r="H183">
        <v>0</v>
      </c>
      <c r="I183">
        <v>0</v>
      </c>
      <c r="J183">
        <v>7</v>
      </c>
      <c r="K183">
        <v>294.55</v>
      </c>
      <c r="L183" t="str">
        <f t="shared" si="2"/>
        <v>Cancelled</v>
      </c>
    </row>
    <row r="184" spans="1:12" hidden="1" x14ac:dyDescent="0.25">
      <c r="A184">
        <v>1183</v>
      </c>
      <c r="B184" t="s">
        <v>23</v>
      </c>
      <c r="C184">
        <v>0</v>
      </c>
      <c r="D184" t="s">
        <v>27</v>
      </c>
      <c r="E184" t="s">
        <v>34</v>
      </c>
      <c r="F184">
        <v>1</v>
      </c>
      <c r="G184">
        <v>0</v>
      </c>
      <c r="H184">
        <v>0</v>
      </c>
      <c r="I184">
        <v>3</v>
      </c>
      <c r="J184">
        <v>5</v>
      </c>
      <c r="K184">
        <v>294.94</v>
      </c>
      <c r="L184" t="str">
        <f t="shared" si="2"/>
        <v>Not cancelled</v>
      </c>
    </row>
    <row r="185" spans="1:12" hidden="1" x14ac:dyDescent="0.25">
      <c r="A185">
        <v>1184</v>
      </c>
      <c r="B185" t="s">
        <v>11</v>
      </c>
      <c r="C185">
        <v>0</v>
      </c>
      <c r="D185" t="s">
        <v>32</v>
      </c>
      <c r="E185" t="s">
        <v>17</v>
      </c>
      <c r="F185">
        <v>1</v>
      </c>
      <c r="G185">
        <v>0</v>
      </c>
      <c r="H185">
        <v>0</v>
      </c>
      <c r="I185">
        <v>3</v>
      </c>
      <c r="J185">
        <v>1</v>
      </c>
      <c r="K185">
        <v>76.33</v>
      </c>
      <c r="L185" t="str">
        <f t="shared" si="2"/>
        <v>Not cancelled</v>
      </c>
    </row>
    <row r="186" spans="1:12" hidden="1" x14ac:dyDescent="0.25">
      <c r="A186">
        <v>1185</v>
      </c>
      <c r="B186" t="s">
        <v>23</v>
      </c>
      <c r="C186">
        <v>0</v>
      </c>
      <c r="D186" t="s">
        <v>18</v>
      </c>
      <c r="E186" t="s">
        <v>29</v>
      </c>
      <c r="F186">
        <v>1</v>
      </c>
      <c r="G186">
        <v>0</v>
      </c>
      <c r="H186">
        <v>0</v>
      </c>
      <c r="I186">
        <v>1</v>
      </c>
      <c r="J186">
        <v>5</v>
      </c>
      <c r="K186">
        <v>175.45</v>
      </c>
      <c r="L186" t="str">
        <f t="shared" si="2"/>
        <v>Not cancelled</v>
      </c>
    </row>
    <row r="187" spans="1:12" hidden="1" x14ac:dyDescent="0.25">
      <c r="A187">
        <v>1186</v>
      </c>
      <c r="B187" t="s">
        <v>11</v>
      </c>
      <c r="C187">
        <v>0</v>
      </c>
      <c r="D187" t="s">
        <v>12</v>
      </c>
      <c r="E187" t="s">
        <v>17</v>
      </c>
      <c r="F187">
        <v>2</v>
      </c>
      <c r="G187">
        <v>1</v>
      </c>
      <c r="H187">
        <v>0</v>
      </c>
      <c r="I187">
        <v>1</v>
      </c>
      <c r="J187">
        <v>7</v>
      </c>
      <c r="K187">
        <v>69.86</v>
      </c>
      <c r="L187" t="str">
        <f t="shared" si="2"/>
        <v>Not cancelled</v>
      </c>
    </row>
    <row r="188" spans="1:12" hidden="1" x14ac:dyDescent="0.25">
      <c r="A188">
        <v>1187</v>
      </c>
      <c r="B188" t="s">
        <v>23</v>
      </c>
      <c r="C188">
        <v>0</v>
      </c>
      <c r="D188" t="s">
        <v>22</v>
      </c>
      <c r="E188" t="s">
        <v>17</v>
      </c>
      <c r="F188">
        <v>1</v>
      </c>
      <c r="G188">
        <v>0</v>
      </c>
      <c r="H188">
        <v>0</v>
      </c>
      <c r="I188">
        <v>2</v>
      </c>
      <c r="J188">
        <v>2</v>
      </c>
      <c r="K188">
        <v>178.12</v>
      </c>
      <c r="L188" t="str">
        <f t="shared" si="2"/>
        <v>Not cancelled</v>
      </c>
    </row>
    <row r="189" spans="1:12" hidden="1" x14ac:dyDescent="0.25">
      <c r="A189">
        <v>1188</v>
      </c>
      <c r="B189" t="s">
        <v>23</v>
      </c>
      <c r="C189">
        <v>0</v>
      </c>
      <c r="D189" t="s">
        <v>12</v>
      </c>
      <c r="E189" t="s">
        <v>31</v>
      </c>
      <c r="F189">
        <v>1</v>
      </c>
      <c r="G189">
        <v>0</v>
      </c>
      <c r="H189">
        <v>0</v>
      </c>
      <c r="I189">
        <v>2</v>
      </c>
      <c r="J189">
        <v>1</v>
      </c>
      <c r="K189">
        <v>127.78</v>
      </c>
      <c r="L189" t="str">
        <f t="shared" si="2"/>
        <v>Not cancelled</v>
      </c>
    </row>
    <row r="190" spans="1:12" hidden="1" x14ac:dyDescent="0.25">
      <c r="A190">
        <v>1189</v>
      </c>
      <c r="B190" t="s">
        <v>11</v>
      </c>
      <c r="C190">
        <v>0</v>
      </c>
      <c r="D190" t="s">
        <v>14</v>
      </c>
      <c r="E190" t="s">
        <v>17</v>
      </c>
      <c r="F190">
        <v>2</v>
      </c>
      <c r="G190">
        <v>0</v>
      </c>
      <c r="H190">
        <v>0</v>
      </c>
      <c r="I190">
        <v>2</v>
      </c>
      <c r="J190">
        <v>2</v>
      </c>
      <c r="K190">
        <v>216.25</v>
      </c>
      <c r="L190" t="str">
        <f t="shared" si="2"/>
        <v>Not cancelled</v>
      </c>
    </row>
    <row r="191" spans="1:12" x14ac:dyDescent="0.25">
      <c r="A191">
        <v>1190</v>
      </c>
      <c r="B191" t="s">
        <v>23</v>
      </c>
      <c r="C191">
        <v>1</v>
      </c>
      <c r="D191" t="s">
        <v>18</v>
      </c>
      <c r="E191" t="s">
        <v>13</v>
      </c>
      <c r="F191">
        <v>2</v>
      </c>
      <c r="G191">
        <v>0</v>
      </c>
      <c r="H191">
        <v>0</v>
      </c>
      <c r="I191">
        <v>3</v>
      </c>
      <c r="J191">
        <v>7</v>
      </c>
      <c r="K191">
        <v>231.17</v>
      </c>
      <c r="L191" t="str">
        <f t="shared" si="2"/>
        <v>Cancelled</v>
      </c>
    </row>
    <row r="192" spans="1:12" hidden="1" x14ac:dyDescent="0.25">
      <c r="A192">
        <v>1191</v>
      </c>
      <c r="B192" t="s">
        <v>11</v>
      </c>
      <c r="C192">
        <v>0</v>
      </c>
      <c r="D192" t="s">
        <v>12</v>
      </c>
      <c r="E192" t="s">
        <v>13</v>
      </c>
      <c r="F192">
        <v>2</v>
      </c>
      <c r="G192">
        <v>0</v>
      </c>
      <c r="H192">
        <v>0</v>
      </c>
      <c r="I192">
        <v>1</v>
      </c>
      <c r="J192">
        <v>3</v>
      </c>
      <c r="K192">
        <v>222.89</v>
      </c>
      <c r="L192" t="str">
        <f t="shared" si="2"/>
        <v>Not cancelled</v>
      </c>
    </row>
    <row r="193" spans="1:12" x14ac:dyDescent="0.25">
      <c r="A193">
        <v>1192</v>
      </c>
      <c r="B193" t="s">
        <v>11</v>
      </c>
      <c r="C193">
        <v>1</v>
      </c>
      <c r="D193" t="s">
        <v>27</v>
      </c>
      <c r="E193" t="s">
        <v>15</v>
      </c>
      <c r="F193">
        <v>3</v>
      </c>
      <c r="G193">
        <v>0</v>
      </c>
      <c r="H193">
        <v>1</v>
      </c>
      <c r="I193">
        <v>3</v>
      </c>
      <c r="J193">
        <v>6</v>
      </c>
      <c r="K193">
        <v>297.92</v>
      </c>
      <c r="L193" t="str">
        <f t="shared" si="2"/>
        <v>Cancelled</v>
      </c>
    </row>
    <row r="194" spans="1:12" x14ac:dyDescent="0.25">
      <c r="A194">
        <v>1193</v>
      </c>
      <c r="B194" t="s">
        <v>11</v>
      </c>
      <c r="C194">
        <v>1</v>
      </c>
      <c r="D194" t="s">
        <v>28</v>
      </c>
      <c r="E194" t="s">
        <v>17</v>
      </c>
      <c r="F194">
        <v>1</v>
      </c>
      <c r="G194">
        <v>1</v>
      </c>
      <c r="H194">
        <v>0</v>
      </c>
      <c r="I194">
        <v>1</v>
      </c>
      <c r="J194">
        <v>7</v>
      </c>
      <c r="K194">
        <v>214.4</v>
      </c>
      <c r="L194" t="str">
        <f t="shared" si="2"/>
        <v>Cancelled</v>
      </c>
    </row>
    <row r="195" spans="1:12" x14ac:dyDescent="0.25">
      <c r="A195">
        <v>1194</v>
      </c>
      <c r="B195" t="s">
        <v>23</v>
      </c>
      <c r="C195">
        <v>1</v>
      </c>
      <c r="D195" t="s">
        <v>16</v>
      </c>
      <c r="E195" t="s">
        <v>34</v>
      </c>
      <c r="F195">
        <v>2</v>
      </c>
      <c r="G195">
        <v>0</v>
      </c>
      <c r="H195">
        <v>0</v>
      </c>
      <c r="I195">
        <v>1</v>
      </c>
      <c r="J195">
        <v>3</v>
      </c>
      <c r="K195">
        <v>304.64999999999998</v>
      </c>
      <c r="L195" t="str">
        <f t="shared" ref="L195:L201" si="3">IF(C195=1,"Cancelled","Not cancelled")</f>
        <v>Cancelled</v>
      </c>
    </row>
    <row r="196" spans="1:12" hidden="1" x14ac:dyDescent="0.25">
      <c r="A196">
        <v>1195</v>
      </c>
      <c r="B196" t="s">
        <v>11</v>
      </c>
      <c r="C196">
        <v>0</v>
      </c>
      <c r="D196" t="s">
        <v>28</v>
      </c>
      <c r="E196" t="s">
        <v>17</v>
      </c>
      <c r="F196">
        <v>2</v>
      </c>
      <c r="G196">
        <v>0</v>
      </c>
      <c r="H196">
        <v>0</v>
      </c>
      <c r="I196">
        <v>1</v>
      </c>
      <c r="J196">
        <v>3</v>
      </c>
      <c r="K196">
        <v>102.75</v>
      </c>
      <c r="L196" t="str">
        <f t="shared" si="3"/>
        <v>Not cancelled</v>
      </c>
    </row>
    <row r="197" spans="1:12" hidden="1" x14ac:dyDescent="0.25">
      <c r="A197">
        <v>1196</v>
      </c>
      <c r="B197" t="s">
        <v>11</v>
      </c>
      <c r="C197">
        <v>0</v>
      </c>
      <c r="D197" t="s">
        <v>26</v>
      </c>
      <c r="E197" t="s">
        <v>31</v>
      </c>
      <c r="F197">
        <v>3</v>
      </c>
      <c r="G197">
        <v>0</v>
      </c>
      <c r="H197">
        <v>0</v>
      </c>
      <c r="I197">
        <v>2</v>
      </c>
      <c r="J197">
        <v>6</v>
      </c>
      <c r="K197">
        <v>116.23</v>
      </c>
      <c r="L197" t="str">
        <f t="shared" si="3"/>
        <v>Not cancelled</v>
      </c>
    </row>
    <row r="198" spans="1:12" hidden="1" x14ac:dyDescent="0.25">
      <c r="A198">
        <v>1197</v>
      </c>
      <c r="B198" t="s">
        <v>11</v>
      </c>
      <c r="C198">
        <v>0</v>
      </c>
      <c r="D198" t="s">
        <v>26</v>
      </c>
      <c r="E198" t="s">
        <v>13</v>
      </c>
      <c r="F198">
        <v>2</v>
      </c>
      <c r="G198">
        <v>0</v>
      </c>
      <c r="H198">
        <v>0</v>
      </c>
      <c r="I198">
        <v>1</v>
      </c>
      <c r="J198">
        <v>6</v>
      </c>
      <c r="K198">
        <v>93.13</v>
      </c>
      <c r="L198" t="str">
        <f t="shared" si="3"/>
        <v>Not cancelled</v>
      </c>
    </row>
    <row r="199" spans="1:12" hidden="1" x14ac:dyDescent="0.25">
      <c r="A199">
        <v>1198</v>
      </c>
      <c r="B199" t="s">
        <v>11</v>
      </c>
      <c r="C199">
        <v>0</v>
      </c>
      <c r="D199" t="s">
        <v>18</v>
      </c>
      <c r="E199" t="s">
        <v>17</v>
      </c>
      <c r="F199">
        <v>2</v>
      </c>
      <c r="G199">
        <v>1</v>
      </c>
      <c r="H199">
        <v>0</v>
      </c>
      <c r="I199">
        <v>3</v>
      </c>
      <c r="J199">
        <v>6</v>
      </c>
      <c r="K199">
        <v>235.03</v>
      </c>
      <c r="L199" t="str">
        <f t="shared" si="3"/>
        <v>Not cancelled</v>
      </c>
    </row>
    <row r="200" spans="1:12" hidden="1" x14ac:dyDescent="0.25">
      <c r="A200">
        <v>1199</v>
      </c>
      <c r="B200" t="s">
        <v>11</v>
      </c>
      <c r="C200">
        <v>0</v>
      </c>
      <c r="D200" t="s">
        <v>19</v>
      </c>
      <c r="E200" t="s">
        <v>17</v>
      </c>
      <c r="F200">
        <v>2</v>
      </c>
      <c r="G200">
        <v>1</v>
      </c>
      <c r="H200">
        <v>0</v>
      </c>
      <c r="I200">
        <v>3</v>
      </c>
      <c r="J200">
        <v>6</v>
      </c>
      <c r="K200">
        <v>157.69</v>
      </c>
      <c r="L200" t="str">
        <f t="shared" si="3"/>
        <v>Not cancelled</v>
      </c>
    </row>
    <row r="201" spans="1:12" hidden="1" x14ac:dyDescent="0.25">
      <c r="A201">
        <v>1200</v>
      </c>
      <c r="B201" t="s">
        <v>23</v>
      </c>
      <c r="C201">
        <v>0</v>
      </c>
      <c r="D201" t="s">
        <v>22</v>
      </c>
      <c r="E201" t="s">
        <v>24</v>
      </c>
      <c r="F201">
        <v>3</v>
      </c>
      <c r="G201">
        <v>0</v>
      </c>
      <c r="H201">
        <v>0</v>
      </c>
      <c r="I201">
        <v>3</v>
      </c>
      <c r="J201">
        <v>3</v>
      </c>
      <c r="K201">
        <v>74.930000000000007</v>
      </c>
      <c r="L201" t="str">
        <f t="shared" si="3"/>
        <v>Not cancelled</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Real Dashboard</vt:lpstr>
      <vt:lpstr>Hotel Bookings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Rushitha Kothakota</cp:lastModifiedBy>
  <dcterms:created xsi:type="dcterms:W3CDTF">2026-03-19T16:26:03Z</dcterms:created>
  <dcterms:modified xsi:type="dcterms:W3CDTF">2026-04-01T06:44:47Z</dcterms:modified>
</cp:coreProperties>
</file>